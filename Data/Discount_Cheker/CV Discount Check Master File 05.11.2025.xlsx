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uditor RSM Data\To be Consider\11 Nov-2025\"/>
    </mc:Choice>
  </mc:AlternateContent>
  <xr:revisionPtr revIDLastSave="0" documentId="13_ncr:1_{7785249D-589E-40D8-BBC5-B8DC8B8DA356}" xr6:coauthVersionLast="47" xr6:coauthVersionMax="47" xr10:uidLastSave="{00000000-0000-0000-0000-000000000000}"/>
  <bookViews>
    <workbookView xWindow="-120" yWindow="-120" windowWidth="24240" windowHeight="13020" xr2:uid="{9C2300AC-C402-454B-B7CF-00A24C218261}"/>
  </bookViews>
  <sheets>
    <sheet name="Report" sheetId="1" r:id="rId1"/>
    <sheet name="Sheet1" sheetId="4" r:id="rId2"/>
    <sheet name="MasterData" sheetId="2" r:id="rId3"/>
  </sheets>
  <externalReferences>
    <externalReference r:id="rId4"/>
    <externalReference r:id="rId5"/>
  </externalReferences>
  <definedNames>
    <definedName name="_xlnm._FilterDatabase" localSheetId="1" hidden="1">Sheet1!$A$2:$O$36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" i="4" l="1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" i="4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C12" i="4" a="1"/>
  <c r="C12" i="4" s="1"/>
  <c r="C13" i="4" a="1"/>
  <c r="C13" i="4" s="1"/>
  <c r="C14" i="4" a="1"/>
  <c r="C14" i="4" s="1"/>
  <c r="C15" i="4" a="1"/>
  <c r="C15" i="4" s="1"/>
  <c r="C16" i="4" a="1"/>
  <c r="C16" i="4" s="1"/>
  <c r="C17" i="4" a="1"/>
  <c r="C17" i="4" s="1"/>
  <c r="C18" i="4" a="1"/>
  <c r="C18" i="4" s="1"/>
  <c r="C19" i="4" a="1"/>
  <c r="C19" i="4" s="1"/>
  <c r="C20" i="4" a="1"/>
  <c r="C20" i="4" s="1"/>
  <c r="C21" i="4" a="1"/>
  <c r="C21" i="4" s="1"/>
  <c r="C22" i="4" a="1"/>
  <c r="C22" i="4" s="1"/>
  <c r="C23" i="4" a="1"/>
  <c r="C23" i="4" s="1"/>
  <c r="C24" i="4" a="1"/>
  <c r="C24" i="4" s="1"/>
  <c r="C25" i="4" a="1"/>
  <c r="C25" i="4" s="1"/>
  <c r="C26" i="4" a="1"/>
  <c r="C26" i="4" s="1"/>
  <c r="C27" i="4" a="1"/>
  <c r="C27" i="4" s="1"/>
  <c r="C28" i="4" a="1"/>
  <c r="C28" i="4" s="1"/>
  <c r="C29" i="4" a="1"/>
  <c r="C29" i="4" s="1"/>
  <c r="C30" i="4" a="1"/>
  <c r="C30" i="4" s="1"/>
  <c r="C31" i="4" a="1"/>
  <c r="C31" i="4" s="1"/>
  <c r="C32" i="4" a="1"/>
  <c r="C32" i="4" s="1"/>
  <c r="C33" i="4" a="1"/>
  <c r="C33" i="4" s="1"/>
  <c r="C34" i="4" a="1"/>
  <c r="C34" i="4" s="1"/>
  <c r="C35" i="4" a="1"/>
  <c r="C35" i="4" s="1"/>
  <c r="C36" i="4" a="1"/>
  <c r="C36" i="4" s="1"/>
  <c r="D17" i="1"/>
  <c r="D5" i="1" l="1"/>
  <c r="D19" i="1"/>
  <c r="D18" i="1"/>
  <c r="D16" i="1"/>
  <c r="D15" i="1"/>
  <c r="D14" i="1"/>
  <c r="D13" i="1"/>
  <c r="D12" i="1"/>
  <c r="D11" i="1"/>
  <c r="D10" i="1"/>
  <c r="D9" i="1"/>
  <c r="D8" i="1"/>
  <c r="D7" i="1"/>
  <c r="D6" i="1"/>
  <c r="C2" i="2" l="1" a="1"/>
  <c r="C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<sst xmlns="http://schemas.openxmlformats.org/spreadsheetml/2006/main" count="184" uniqueCount="102">
  <si>
    <t>Data Validation Prep.</t>
  </si>
  <si>
    <t>BOL MAXX PUP HD 1.7 LX CBC</t>
  </si>
  <si>
    <t>BOL MAXX PUP HD 1.7 LX</t>
  </si>
  <si>
    <t>BOL MAXX PUP HD 1.7 VXI</t>
  </si>
  <si>
    <t>BOL MAXX PUP HD 1.7 VXI AC</t>
  </si>
  <si>
    <t>BOL MAXX PUP HD 1.7 MX</t>
  </si>
  <si>
    <t>BOL MAXX PUP HD 1.7L LX</t>
  </si>
  <si>
    <t>BOL MAXX PUP HD 1.7L VXI</t>
  </si>
  <si>
    <t>BOL MAXX PUP HD 1.7L MX</t>
  </si>
  <si>
    <t>BOL MAXX PUP HD 1.7L SXI AC</t>
  </si>
  <si>
    <t>BOL MAXX PUP HD 2.0L LX CBC</t>
  </si>
  <si>
    <t>BOL MAXX PUP HD 2.0L LX</t>
  </si>
  <si>
    <t>BOL MAXX PUP HD 2.0L VXI</t>
  </si>
  <si>
    <t>BOL MAXX PUP HD 2.0L MX</t>
  </si>
  <si>
    <t>BOL MAXX PUP HD 2.0L VXI AC</t>
  </si>
  <si>
    <t>BOL MAXX PUP HD 1.3 LX</t>
  </si>
  <si>
    <t>BOL MAXX PUP HD 1.3 VXID AC</t>
  </si>
  <si>
    <t>BOL MAXX PUP CITY 1.3 LX CBC</t>
  </si>
  <si>
    <t>BOL MAXX PUP CITY 1.3 LX</t>
  </si>
  <si>
    <t>BOL MAXX PUP CITY 1.3 VXID</t>
  </si>
  <si>
    <t>BOL MAXX PUP CITY 1.3 VXID AC</t>
  </si>
  <si>
    <t>BOL MAXX PUP CITY 1.3 SXI AC</t>
  </si>
  <si>
    <t>BOL MAXX PUP CITY 1.3 MXD</t>
  </si>
  <si>
    <t>BOL MAXX PUP CITY LX CNG</t>
  </si>
  <si>
    <t>BOL PIK UP FB 1.3T - BS6.2 - PS</t>
  </si>
  <si>
    <t>BOL PIK UP FB 1.3T - BS6.2 - PS AC</t>
  </si>
  <si>
    <t>BOL CAMPER 2WD POWER STEERING BS6.2 - NEW</t>
  </si>
  <si>
    <t>BOL CAMPER 2WD POWER STEERING BS6.2 - CV</t>
  </si>
  <si>
    <t>BOL CAMPER 4WD POWER STEERING BS6.2 - NEW</t>
  </si>
  <si>
    <t>BOL CAMPER GOLD ZX 2WD BS6.2 - NEW</t>
  </si>
  <si>
    <t>MAXX CITY 1.3 LX BS6.2</t>
  </si>
  <si>
    <t>MAXX CITY 1.3 LX CBC BS6.2</t>
  </si>
  <si>
    <t>MAXX CITY 1.3 MXi BS6.2</t>
  </si>
  <si>
    <t>MAXX CITY 1.3 SXi AC - BS6.2</t>
  </si>
  <si>
    <t>MAXX CITY 1.3 VXi BS6.2</t>
  </si>
  <si>
    <t>MAXX CITY 1.3 VXi AC - BS6.2</t>
  </si>
  <si>
    <t>MAXX CITY LX CNG BS6.2</t>
  </si>
  <si>
    <t>MAXX HD 1.3 LX BS6.2</t>
  </si>
  <si>
    <t>MAXX HD 1.3 VXi AC - BS6.2</t>
  </si>
  <si>
    <t>MAXX HD 1.7 LX BS6.2</t>
  </si>
  <si>
    <t>MAXX HD 1.7 LX CBC BS6.2</t>
  </si>
  <si>
    <t>MAXX HD 1.7 MXi BS6.2</t>
  </si>
  <si>
    <t>MAXX HD 1.7 VXi BS6.2</t>
  </si>
  <si>
    <t>MAXX HD 1.7 VXi AC - BS6.2</t>
  </si>
  <si>
    <t>MAXX HD 1.7L LX BS6.2</t>
  </si>
  <si>
    <t>MAXX HD 1.7L MXi BS6.2</t>
  </si>
  <si>
    <t>MAXX HD 1.7L SXi AC - BS6.2</t>
  </si>
  <si>
    <t>MAXX HD 1.7L VXi BS6.2</t>
  </si>
  <si>
    <t>MAXX HD 2.0L LX BS6.2</t>
  </si>
  <si>
    <t>MAXX HD 2.0L LX CBC BS6.2</t>
  </si>
  <si>
    <t>MAXX HD 2.0L MXi BS6.2</t>
  </si>
  <si>
    <t>MAXX HD 2.0L VXi BS6.2</t>
  </si>
  <si>
    <t>MAXX HD 2.0L VXi AC - BS6.2</t>
  </si>
  <si>
    <t>Select Vehicle Variant</t>
  </si>
  <si>
    <t>Variant</t>
  </si>
  <si>
    <t>TCS</t>
  </si>
  <si>
    <t>MAXI CARE</t>
  </si>
  <si>
    <t>Accessories</t>
  </si>
  <si>
    <t>Vehicle Price</t>
  </si>
  <si>
    <t>Ex-Showroom Price</t>
  </si>
  <si>
    <t>VIN
2025</t>
  </si>
  <si>
    <t>VEHICLE PRICE</t>
  </si>
  <si>
    <t>BOL CAMPER GOLD VX 2WD POWER STEERING BS6.2 - CV</t>
  </si>
  <si>
    <t>Model Name</t>
  </si>
  <si>
    <t>Comprehensive + Zero
Dep. Insurance</t>
  </si>
  <si>
    <t>R.T.O. Charges With
Hypo.</t>
  </si>
  <si>
    <t>RSA (Road Side
Assistance) For 1
Year</t>
  </si>
  <si>
    <t>SMC Road - Tax (If
Applicable)</t>
  </si>
  <si>
    <t>ON ROAD PRICE
With SMC Road Tax</t>
  </si>
  <si>
    <t>ON ROAD PRICE
Without SMC Road
Tax</t>
  </si>
  <si>
    <t>BOL MAXX PUP HD LX CNG</t>
  </si>
  <si>
    <t>MAXX HD LX CNG BS6.2</t>
  </si>
  <si>
    <t>VIN 2024 vehicles are not part of Discount adherance</t>
  </si>
  <si>
    <t>MODEL &amp; VARIANT</t>
  </si>
  <si>
    <t>MAXX HD 1.9 Vxi CNG BS6.2</t>
  </si>
  <si>
    <t>BOL MAXX PUP HD 2.0L SXI AC</t>
  </si>
  <si>
    <t>MAXX HD 2.0L SXi AC - BS6.2</t>
  </si>
  <si>
    <t>BOL MAXX PUP HD 2.0L SXI AC CBC</t>
  </si>
  <si>
    <t>MAXX HD 2.0L SXi CBC AC - BS6.2</t>
  </si>
  <si>
    <t>Dealer Offer</t>
  </si>
  <si>
    <t>Exchange Offer</t>
  </si>
  <si>
    <t>Vin's Above 90 Days are open for Discount - Auditor to take Tally Stock on 5th of Every month for &gt;90 Days Stock</t>
  </si>
  <si>
    <t>M&amp;M Scheme
with GST</t>
  </si>
  <si>
    <t>Dealer
Contribution
with GST</t>
  </si>
  <si>
    <t>Total Scheme
with GST
(M&amp;M + Dealer)</t>
  </si>
  <si>
    <t>as per price list insurance is mandatory</t>
  </si>
  <si>
    <t>There is no discount on accessories package</t>
  </si>
  <si>
    <t>Sr.</t>
  </si>
  <si>
    <t>Points</t>
  </si>
  <si>
    <t>35K +  12K Accessories + RSA FREE</t>
  </si>
  <si>
    <t>100% INSURANCE + 100% RTO + RSA FREE</t>
  </si>
  <si>
    <t>32K +  12K Accessories + RSA FREE</t>
  </si>
  <si>
    <t>25K +  12K Accessories + RSA FREE</t>
  </si>
  <si>
    <t>20K +  12K Accessories + RSA FREE</t>
  </si>
  <si>
    <t>MODEL NOT SPECIFIED</t>
  </si>
  <si>
    <t>NOV-2025  VIN 2025</t>
  </si>
  <si>
    <t>26K +  12K Accessories + RSA FREE</t>
  </si>
  <si>
    <t>100% INSURANCE + 20K Accessories  + RSA FREE</t>
  </si>
  <si>
    <t>50% INSURANCE + RSA FREE</t>
  </si>
  <si>
    <t>Price will remain the same at both showrooms</t>
  </si>
  <si>
    <t>For Camper Model Insurance in house is mandatory and in case of out house Insurance only M&amp;M Consumer offer will be applicable</t>
  </si>
  <si>
    <t>Only bulk deals of 10 or more vehicles will be considered outside the cartel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</si>
</sst>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name val="Aptos Narrow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AEB"/>
        <bgColor indexed="64"/>
      </patternFill>
    </fill>
    <fill>
      <patternFill patternType="solid">
        <fgColor rgb="FF2981B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theme="9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/>
        <bgColor theme="9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1" fillId="3" borderId="0" xfId="0" applyFont="1" applyFill="1"/>
    <xf numFmtId="0" fontId="0" fillId="0" borderId="2" xfId="0" applyBorder="1"/>
    <xf numFmtId="0" fontId="0" fillId="0" borderId="3" xfId="0" applyBorder="1"/>
    <xf numFmtId="0" fontId="6" fillId="0" borderId="1" xfId="0" applyFont="1" applyBorder="1" applyAlignment="1">
      <alignment vertical="center" wrapText="1"/>
    </xf>
    <xf numFmtId="0" fontId="9" fillId="5" borderId="4" xfId="4" applyNumberFormat="1" applyFont="1" applyFill="1" applyBorder="1" applyAlignment="1">
      <alignment horizontal="center" vertical="center" wrapText="1"/>
    </xf>
    <xf numFmtId="0" fontId="9" fillId="5" borderId="5" xfId="4" applyNumberFormat="1" applyFont="1" applyFill="1" applyBorder="1" applyAlignment="1">
      <alignment horizontal="center" vertical="center" wrapText="1"/>
    </xf>
    <xf numFmtId="43" fontId="7" fillId="6" borderId="7" xfId="4" applyFont="1" applyFill="1" applyBorder="1"/>
    <xf numFmtId="43" fontId="7" fillId="6" borderId="9" xfId="4" applyFont="1" applyFill="1" applyBorder="1"/>
    <xf numFmtId="0" fontId="0" fillId="8" borderId="0" xfId="0" applyFill="1"/>
    <xf numFmtId="0" fontId="10" fillId="8" borderId="0" xfId="0" applyFont="1" applyFill="1"/>
    <xf numFmtId="0" fontId="3" fillId="2" borderId="20" xfId="0" applyFont="1" applyFill="1" applyBorder="1" applyProtection="1">
      <protection locked="0"/>
    </xf>
    <xf numFmtId="0" fontId="7" fillId="0" borderId="0" xfId="0" applyFont="1"/>
    <xf numFmtId="0" fontId="3" fillId="7" borderId="22" xfId="0" applyFont="1" applyFill="1" applyBorder="1"/>
    <xf numFmtId="0" fontId="3" fillId="7" borderId="23" xfId="0" applyFont="1" applyFill="1" applyBorder="1" applyAlignment="1">
      <alignment vertical="center"/>
    </xf>
    <xf numFmtId="0" fontId="3" fillId="7" borderId="24" xfId="0" applyFont="1" applyFill="1" applyBorder="1" applyAlignment="1">
      <alignment vertical="center"/>
    </xf>
    <xf numFmtId="0" fontId="3" fillId="10" borderId="10" xfId="0" applyFont="1" applyFill="1" applyBorder="1"/>
    <xf numFmtId="0" fontId="3" fillId="10" borderId="21" xfId="0" applyFont="1" applyFill="1" applyBorder="1"/>
    <xf numFmtId="0" fontId="3" fillId="12" borderId="18" xfId="0" applyFont="1" applyFill="1" applyBorder="1"/>
    <xf numFmtId="0" fontId="3" fillId="12" borderId="10" xfId="0" applyFont="1" applyFill="1" applyBorder="1"/>
    <xf numFmtId="43" fontId="3" fillId="12" borderId="17" xfId="4" applyFont="1" applyFill="1" applyBorder="1" applyProtection="1">
      <protection hidden="1"/>
    </xf>
    <xf numFmtId="43" fontId="3" fillId="12" borderId="11" xfId="4" applyFont="1" applyFill="1" applyBorder="1" applyAlignment="1" applyProtection="1">
      <alignment horizontal="right"/>
      <protection hidden="1"/>
    </xf>
    <xf numFmtId="43" fontId="3" fillId="12" borderId="11" xfId="4" applyFont="1" applyFill="1" applyBorder="1" applyProtection="1">
      <protection hidden="1"/>
    </xf>
    <xf numFmtId="43" fontId="3" fillId="10" borderId="11" xfId="4" applyFont="1" applyFill="1" applyBorder="1" applyProtection="1">
      <protection hidden="1"/>
    </xf>
    <xf numFmtId="43" fontId="3" fillId="10" borderId="19" xfId="4" applyFont="1" applyFill="1" applyBorder="1" applyProtection="1">
      <protection hidden="1"/>
    </xf>
    <xf numFmtId="43" fontId="3" fillId="7" borderId="17" xfId="4" applyFont="1" applyFill="1" applyBorder="1" applyProtection="1">
      <protection hidden="1"/>
    </xf>
    <xf numFmtId="43" fontId="3" fillId="7" borderId="11" xfId="4" applyFont="1" applyFill="1" applyBorder="1" applyAlignment="1" applyProtection="1">
      <alignment horizontal="right" vertical="center" wrapText="1"/>
      <protection hidden="1"/>
    </xf>
    <xf numFmtId="0" fontId="6" fillId="14" borderId="7" xfId="0" applyFont="1" applyFill="1" applyBorder="1"/>
    <xf numFmtId="0" fontId="12" fillId="14" borderId="8" xfId="0" applyFont="1" applyFill="1" applyBorder="1"/>
    <xf numFmtId="0" fontId="6" fillId="14" borderId="10" xfId="0" applyFont="1" applyFill="1" applyBorder="1"/>
    <xf numFmtId="0" fontId="12" fillId="14" borderId="11" xfId="0" applyFont="1" applyFill="1" applyBorder="1"/>
    <xf numFmtId="0" fontId="6" fillId="15" borderId="4" xfId="0" applyFont="1" applyFill="1" applyBorder="1" applyAlignment="1">
      <alignment vertical="center" wrapText="1"/>
    </xf>
    <xf numFmtId="0" fontId="6" fillId="15" borderId="6" xfId="0" applyFont="1" applyFill="1" applyBorder="1" applyAlignment="1">
      <alignment vertical="center"/>
    </xf>
    <xf numFmtId="0" fontId="3" fillId="7" borderId="27" xfId="0" applyFont="1" applyFill="1" applyBorder="1" applyAlignment="1">
      <alignment vertical="center"/>
    </xf>
    <xf numFmtId="0" fontId="9" fillId="5" borderId="28" xfId="4" applyNumberFormat="1" applyFont="1" applyFill="1" applyBorder="1" applyAlignment="1">
      <alignment horizontal="center" vertical="center" wrapText="1"/>
    </xf>
    <xf numFmtId="43" fontId="7" fillId="6" borderId="29" xfId="4" applyFont="1" applyFill="1" applyBorder="1"/>
    <xf numFmtId="0" fontId="8" fillId="9" borderId="12" xfId="0" applyFont="1" applyFill="1" applyBorder="1" applyAlignment="1">
      <alignment horizontal="center" vertical="center" wrapText="1"/>
    </xf>
    <xf numFmtId="43" fontId="7" fillId="9" borderId="12" xfId="4" applyFont="1" applyFill="1" applyBorder="1"/>
    <xf numFmtId="0" fontId="7" fillId="9" borderId="12" xfId="4" applyNumberFormat="1" applyFont="1" applyFill="1" applyBorder="1"/>
    <xf numFmtId="43" fontId="3" fillId="7" borderId="11" xfId="4" applyFont="1" applyFill="1" applyBorder="1" applyAlignment="1" applyProtection="1">
      <protection hidden="1"/>
    </xf>
    <xf numFmtId="43" fontId="3" fillId="7" borderId="13" xfId="4" applyFont="1" applyFill="1" applyBorder="1" applyAlignment="1" applyProtection="1">
      <protection hidden="1"/>
    </xf>
    <xf numFmtId="0" fontId="6" fillId="17" borderId="12" xfId="0" applyFont="1" applyFill="1" applyBorder="1" applyAlignment="1">
      <alignment horizontal="center" vertical="center"/>
    </xf>
    <xf numFmtId="0" fontId="6" fillId="17" borderId="12" xfId="0" applyFont="1" applyFill="1" applyBorder="1" applyAlignment="1">
      <alignment vertical="center"/>
    </xf>
    <xf numFmtId="0" fontId="13" fillId="16" borderId="12" xfId="0" applyFont="1" applyFill="1" applyBorder="1" applyAlignment="1">
      <alignment vertical="center"/>
    </xf>
    <xf numFmtId="0" fontId="6" fillId="17" borderId="12" xfId="0" applyFont="1" applyFill="1" applyBorder="1" applyAlignment="1">
      <alignment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 wrapText="1"/>
    </xf>
    <xf numFmtId="0" fontId="3" fillId="11" borderId="16" xfId="0" applyFont="1" applyFill="1" applyBorder="1" applyAlignment="1">
      <alignment horizontal="center" vertical="center" wrapText="1"/>
    </xf>
    <xf numFmtId="0" fontId="3" fillId="11" borderId="15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28" xfId="0" applyFont="1" applyFill="1" applyBorder="1" applyAlignment="1">
      <alignment horizontal="center"/>
    </xf>
    <xf numFmtId="0" fontId="11" fillId="13" borderId="25" xfId="0" applyFont="1" applyFill="1" applyBorder="1" applyAlignment="1">
      <alignment horizontal="center"/>
    </xf>
    <xf numFmtId="0" fontId="11" fillId="13" borderId="26" xfId="0" applyFont="1" applyFill="1" applyBorder="1" applyAlignment="1">
      <alignment horizontal="center"/>
    </xf>
    <xf numFmtId="0" fontId="11" fillId="9" borderId="12" xfId="0" applyFont="1" applyFill="1" applyBorder="1" applyAlignment="1">
      <alignment horizontal="center"/>
    </xf>
  </cellXfs>
  <cellStyles count="5">
    <cellStyle name="Comma" xfId="4" builtinId="3"/>
    <cellStyle name="Hyperlink 2" xfId="2" xr:uid="{27EE3EE4-7E72-485A-9013-CF3915E6962D}"/>
    <cellStyle name="Hyperlink 3" xfId="3" xr:uid="{404D0859-4108-4E79-9211-21AB6A0BB793}"/>
    <cellStyle name="Normal" xfId="0" builtinId="0"/>
    <cellStyle name="Normal 2" xfId="1" xr:uid="{A53F5D57-8CD3-405C-B8DD-B76D001D1484}"/>
  </cellStyles>
  <dxfs count="5">
    <dxf>
      <border diagonalUp="0" diagonalDown="0">
        <left/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FAEB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uditor%20RSM%20Data\To%20be%20Consider\11%20Nov-2025\CV%20Price%20List%20D.%2003.11.2025.xlsx" TargetMode="External"/><Relationship Id="rId1" Type="http://schemas.openxmlformats.org/officeDocument/2006/relationships/externalLinkPath" Target="CV%20Price%20List%20D.%2003.11.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ice List"/>
    </sheetNames>
    <sheetDataSet>
      <sheetData sheetId="0">
        <row r="1">
          <cell r="B1" t="str">
            <v>VEHICLE MODEL</v>
          </cell>
          <cell r="C1" t="str">
            <v>Ex-Showroom Price</v>
          </cell>
          <cell r="D1" t="str">
            <v>TCS</v>
          </cell>
          <cell r="E1" t="str">
            <v>Comprehensive + Zero
Dep. Insurance</v>
          </cell>
          <cell r="F1" t="str">
            <v>R.T.O. Charges With
Hypo.</v>
          </cell>
          <cell r="G1" t="str">
            <v>RSA (Road Side
Assistance) For 1
Year</v>
          </cell>
          <cell r="H1" t="str">
            <v>SMC Road - Tax (If
Applicable)</v>
          </cell>
          <cell r="I1" t="str">
            <v>MAXI CARE</v>
          </cell>
          <cell r="J1" t="str">
            <v>Accessories</v>
          </cell>
          <cell r="K1" t="str">
            <v>ON ROAD PRICE
With SMC Road Tax</v>
          </cell>
          <cell r="L1" t="str">
            <v>ON ROAD PRICE
Without SMC Road
Tax</v>
          </cell>
        </row>
        <row r="2">
          <cell r="B2" t="str">
            <v>BOL MAXX PUP HD 1.7 LX CBC</v>
          </cell>
          <cell r="C2">
            <v>902000</v>
          </cell>
          <cell r="D2">
            <v>0</v>
          </cell>
          <cell r="E2">
            <v>50233</v>
          </cell>
          <cell r="F2">
            <v>49114</v>
          </cell>
          <cell r="G2">
            <v>1519</v>
          </cell>
          <cell r="H2">
            <v>22550</v>
          </cell>
          <cell r="I2">
            <v>3500</v>
          </cell>
          <cell r="J2">
            <v>12000</v>
          </cell>
          <cell r="K2">
            <v>1040916</v>
          </cell>
          <cell r="L2">
            <v>1018366</v>
          </cell>
        </row>
        <row r="3">
          <cell r="B3" t="str">
            <v>BOL MAXX PUP HD 1.7 LX</v>
          </cell>
          <cell r="C3">
            <v>926900</v>
          </cell>
          <cell r="D3">
            <v>0</v>
          </cell>
          <cell r="E3">
            <v>51048</v>
          </cell>
          <cell r="F3">
            <v>49781</v>
          </cell>
          <cell r="G3">
            <v>1519</v>
          </cell>
          <cell r="H3">
            <v>23173</v>
          </cell>
          <cell r="I3">
            <v>3500</v>
          </cell>
          <cell r="J3">
            <v>12000</v>
          </cell>
          <cell r="K3">
            <v>1067920</v>
          </cell>
          <cell r="L3">
            <v>1044748</v>
          </cell>
        </row>
        <row r="4">
          <cell r="B4" t="str">
            <v>BOL MAXX PUP HD 1.7 VXI</v>
          </cell>
          <cell r="C4">
            <v>951600</v>
          </cell>
          <cell r="D4">
            <v>0</v>
          </cell>
          <cell r="E4">
            <v>51826</v>
          </cell>
          <cell r="F4">
            <v>51036</v>
          </cell>
          <cell r="G4">
            <v>1519</v>
          </cell>
          <cell r="H4">
            <v>23790</v>
          </cell>
          <cell r="I4">
            <v>3500</v>
          </cell>
          <cell r="J4">
            <v>12000</v>
          </cell>
          <cell r="K4">
            <v>1095272</v>
          </cell>
          <cell r="L4">
            <v>1071482</v>
          </cell>
        </row>
        <row r="5">
          <cell r="B5" t="str">
            <v>BOL MAXX PUP HD 1.7 VXI AC</v>
          </cell>
          <cell r="C5">
            <v>968201</v>
          </cell>
          <cell r="D5">
            <v>0</v>
          </cell>
          <cell r="E5">
            <v>52396</v>
          </cell>
          <cell r="F5">
            <v>51881</v>
          </cell>
          <cell r="G5">
            <v>1519</v>
          </cell>
          <cell r="H5">
            <v>24205</v>
          </cell>
          <cell r="I5">
            <v>3500</v>
          </cell>
          <cell r="J5">
            <v>12000</v>
          </cell>
          <cell r="K5">
            <v>1113703</v>
          </cell>
          <cell r="L5">
            <v>1089498</v>
          </cell>
        </row>
        <row r="6">
          <cell r="B6" t="str">
            <v>BOL MAXX PUP HD 1.7 MX</v>
          </cell>
          <cell r="C6">
            <v>954400</v>
          </cell>
          <cell r="D6">
            <v>0</v>
          </cell>
          <cell r="E6">
            <v>51947</v>
          </cell>
          <cell r="F6">
            <v>51179</v>
          </cell>
          <cell r="G6">
            <v>1519</v>
          </cell>
          <cell r="H6">
            <v>23860</v>
          </cell>
          <cell r="I6">
            <v>3500</v>
          </cell>
          <cell r="J6">
            <v>12000</v>
          </cell>
          <cell r="K6">
            <v>1098404</v>
          </cell>
          <cell r="L6">
            <v>1074544</v>
          </cell>
        </row>
        <row r="7">
          <cell r="B7" t="str">
            <v>BOL MAXX PUP HD 1.7L LX</v>
          </cell>
          <cell r="C7">
            <v>949800</v>
          </cell>
          <cell r="D7">
            <v>0</v>
          </cell>
          <cell r="E7">
            <v>51795</v>
          </cell>
          <cell r="F7">
            <v>50945</v>
          </cell>
          <cell r="G7">
            <v>1519</v>
          </cell>
          <cell r="H7">
            <v>23745</v>
          </cell>
          <cell r="I7">
            <v>3500</v>
          </cell>
          <cell r="J7">
            <v>12000</v>
          </cell>
          <cell r="K7">
            <v>1093304</v>
          </cell>
          <cell r="L7">
            <v>1069559</v>
          </cell>
        </row>
        <row r="8">
          <cell r="B8" t="str">
            <v>BOL MAXX PUP HD 1.7L VXI</v>
          </cell>
          <cell r="C8">
            <v>962700</v>
          </cell>
          <cell r="D8">
            <v>0</v>
          </cell>
          <cell r="E8">
            <v>52160</v>
          </cell>
          <cell r="F8">
            <v>51601</v>
          </cell>
          <cell r="G8">
            <v>1519</v>
          </cell>
          <cell r="H8">
            <v>24068</v>
          </cell>
          <cell r="I8">
            <v>3500</v>
          </cell>
          <cell r="J8">
            <v>12000</v>
          </cell>
          <cell r="K8">
            <v>1107548</v>
          </cell>
          <cell r="L8">
            <v>1083480</v>
          </cell>
        </row>
        <row r="9">
          <cell r="B9" t="str">
            <v>BOL MAXX PUP HD 1.7L MX</v>
          </cell>
          <cell r="C9">
            <v>977300</v>
          </cell>
          <cell r="D9">
            <v>0</v>
          </cell>
          <cell r="E9">
            <v>52694</v>
          </cell>
          <cell r="F9">
            <v>52343</v>
          </cell>
          <cell r="G9">
            <v>1519</v>
          </cell>
          <cell r="H9">
            <v>24433</v>
          </cell>
          <cell r="I9">
            <v>3500</v>
          </cell>
          <cell r="J9">
            <v>12000</v>
          </cell>
          <cell r="K9">
            <v>1123789</v>
          </cell>
          <cell r="L9">
            <v>1099356</v>
          </cell>
        </row>
        <row r="10">
          <cell r="B10" t="str">
            <v>BOL MAXX PUP HD 1.7L SXI AC</v>
          </cell>
          <cell r="C10">
            <v>977300</v>
          </cell>
          <cell r="D10">
            <v>0</v>
          </cell>
          <cell r="E10">
            <v>52694</v>
          </cell>
          <cell r="F10">
            <v>52343</v>
          </cell>
          <cell r="G10">
            <v>1519</v>
          </cell>
          <cell r="H10">
            <v>24433</v>
          </cell>
          <cell r="I10">
            <v>3500</v>
          </cell>
          <cell r="J10">
            <v>12000</v>
          </cell>
          <cell r="K10">
            <v>1123789</v>
          </cell>
          <cell r="L10">
            <v>1099356</v>
          </cell>
        </row>
        <row r="11">
          <cell r="B11" t="str">
            <v>BOL MAXX PUP HD 2.0L LX CBC</v>
          </cell>
          <cell r="C11">
            <v>981800</v>
          </cell>
          <cell r="D11">
            <v>0</v>
          </cell>
          <cell r="E11">
            <v>52735</v>
          </cell>
          <cell r="F11">
            <v>53172</v>
          </cell>
          <cell r="G11">
            <v>1519</v>
          </cell>
          <cell r="H11">
            <v>24545</v>
          </cell>
          <cell r="I11">
            <v>3500</v>
          </cell>
          <cell r="J11">
            <v>12000</v>
          </cell>
          <cell r="K11">
            <v>1129271</v>
          </cell>
          <cell r="L11">
            <v>1104726</v>
          </cell>
        </row>
        <row r="12">
          <cell r="B12" t="str">
            <v>BOL MAXX PUP HD 2.0L LX</v>
          </cell>
          <cell r="C12">
            <v>1015000</v>
          </cell>
          <cell r="D12">
            <v>10150</v>
          </cell>
          <cell r="E12">
            <v>53735</v>
          </cell>
          <cell r="F12">
            <v>54260</v>
          </cell>
          <cell r="G12">
            <v>1519</v>
          </cell>
          <cell r="H12">
            <v>35525</v>
          </cell>
          <cell r="I12">
            <v>3500</v>
          </cell>
          <cell r="J12">
            <v>12000</v>
          </cell>
          <cell r="K12">
            <v>1185689</v>
          </cell>
          <cell r="L12">
            <v>1150164</v>
          </cell>
        </row>
        <row r="13">
          <cell r="B13" t="str">
            <v>BOL MAXX PUP HD 2.0L VXI</v>
          </cell>
          <cell r="C13">
            <v>1034200</v>
          </cell>
          <cell r="D13">
            <v>10342</v>
          </cell>
          <cell r="E13">
            <v>54312</v>
          </cell>
          <cell r="F13">
            <v>55236</v>
          </cell>
          <cell r="G13">
            <v>1519</v>
          </cell>
          <cell r="H13">
            <v>36197</v>
          </cell>
          <cell r="I13">
            <v>3500</v>
          </cell>
          <cell r="J13">
            <v>12000</v>
          </cell>
          <cell r="K13">
            <v>1207307</v>
          </cell>
          <cell r="L13">
            <v>1171110</v>
          </cell>
        </row>
        <row r="14">
          <cell r="B14" t="str">
            <v>BOL MAXX PUP HD 2.0L MX</v>
          </cell>
          <cell r="C14">
            <v>1038800</v>
          </cell>
          <cell r="D14">
            <v>10388</v>
          </cell>
          <cell r="E14">
            <v>54451</v>
          </cell>
          <cell r="F14">
            <v>55470</v>
          </cell>
          <cell r="G14">
            <v>1519</v>
          </cell>
          <cell r="H14">
            <v>36358</v>
          </cell>
          <cell r="I14">
            <v>3500</v>
          </cell>
          <cell r="J14">
            <v>12000</v>
          </cell>
          <cell r="K14">
            <v>1212486</v>
          </cell>
          <cell r="L14">
            <v>1176128</v>
          </cell>
        </row>
        <row r="15">
          <cell r="B15" t="str">
            <v>BOL MAXX PUP HD 2.0L VXI AC</v>
          </cell>
          <cell r="C15">
            <v>1051700</v>
          </cell>
          <cell r="D15">
            <v>10517</v>
          </cell>
          <cell r="E15">
            <v>55125</v>
          </cell>
          <cell r="F15">
            <v>56126</v>
          </cell>
          <cell r="G15">
            <v>1519</v>
          </cell>
          <cell r="H15">
            <v>36810</v>
          </cell>
          <cell r="I15">
            <v>3500</v>
          </cell>
          <cell r="J15">
            <v>12000</v>
          </cell>
          <cell r="K15">
            <v>1227297</v>
          </cell>
          <cell r="L15">
            <v>1190487</v>
          </cell>
        </row>
        <row r="16">
          <cell r="B16" t="str">
            <v>BOL MAXX PUP HD 2.0L SXI AC CBC</v>
          </cell>
          <cell r="C16">
            <v>991000</v>
          </cell>
          <cell r="D16">
            <v>0</v>
          </cell>
          <cell r="E16">
            <v>53142</v>
          </cell>
          <cell r="F16">
            <v>53640</v>
          </cell>
          <cell r="G16">
            <v>1519</v>
          </cell>
          <cell r="H16">
            <v>24775</v>
          </cell>
          <cell r="I16">
            <v>3500</v>
          </cell>
          <cell r="J16">
            <v>12000</v>
          </cell>
          <cell r="K16">
            <v>1139576</v>
          </cell>
          <cell r="L16">
            <v>1114801</v>
          </cell>
        </row>
        <row r="17">
          <cell r="B17" t="str">
            <v>BOL MAXX PUP HD 2.0L SXI AC</v>
          </cell>
          <cell r="C17">
            <v>1024100</v>
          </cell>
          <cell r="D17">
            <v>10241</v>
          </cell>
          <cell r="E17">
            <v>54223</v>
          </cell>
          <cell r="F17">
            <v>54723</v>
          </cell>
          <cell r="G17">
            <v>1519</v>
          </cell>
          <cell r="H17">
            <v>35844</v>
          </cell>
          <cell r="I17">
            <v>3500</v>
          </cell>
          <cell r="J17">
            <v>12000</v>
          </cell>
          <cell r="K17">
            <v>1196150</v>
          </cell>
          <cell r="L17">
            <v>1160306</v>
          </cell>
        </row>
        <row r="18">
          <cell r="B18" t="str">
            <v>BOL MAXX PUP HD 1.3 LX</v>
          </cell>
          <cell r="C18">
            <v>916700</v>
          </cell>
          <cell r="D18">
            <v>0</v>
          </cell>
          <cell r="E18">
            <v>50714</v>
          </cell>
          <cell r="F18">
            <v>48912</v>
          </cell>
          <cell r="G18">
            <v>1519</v>
          </cell>
          <cell r="H18">
            <v>22918</v>
          </cell>
          <cell r="I18">
            <v>3500</v>
          </cell>
          <cell r="J18">
            <v>12000</v>
          </cell>
          <cell r="K18">
            <v>1056262</v>
          </cell>
          <cell r="L18">
            <v>1033345</v>
          </cell>
        </row>
        <row r="19">
          <cell r="B19" t="str">
            <v>BOL MAXX PUP HD 1.3 VXID AC</v>
          </cell>
          <cell r="C19">
            <v>962600</v>
          </cell>
          <cell r="D19">
            <v>0</v>
          </cell>
          <cell r="E19">
            <v>52213</v>
          </cell>
          <cell r="F19">
            <v>51246</v>
          </cell>
          <cell r="G19">
            <v>1519</v>
          </cell>
          <cell r="H19">
            <v>24065</v>
          </cell>
          <cell r="I19">
            <v>3500</v>
          </cell>
          <cell r="J19">
            <v>12000</v>
          </cell>
          <cell r="K19">
            <v>1107143</v>
          </cell>
          <cell r="L19">
            <v>1083078</v>
          </cell>
        </row>
        <row r="20">
          <cell r="B20" t="str">
            <v>BOL MAXX PUP HD LX CNG</v>
          </cell>
          <cell r="C20">
            <v>958101</v>
          </cell>
          <cell r="D20">
            <v>0</v>
          </cell>
          <cell r="E20">
            <v>52372</v>
          </cell>
          <cell r="F20">
            <v>51017</v>
          </cell>
          <cell r="G20">
            <v>1519</v>
          </cell>
          <cell r="H20">
            <v>14372</v>
          </cell>
          <cell r="I20">
            <v>3500</v>
          </cell>
          <cell r="J20">
            <v>12000</v>
          </cell>
          <cell r="K20">
            <v>1092881</v>
          </cell>
          <cell r="L20">
            <v>1078509</v>
          </cell>
        </row>
        <row r="21">
          <cell r="B21" t="str">
            <v>MAXX HD 1.9 Vxi CNG BS6.2</v>
          </cell>
          <cell r="C21">
            <v>1026900</v>
          </cell>
          <cell r="D21">
            <v>10269</v>
          </cell>
          <cell r="E21">
            <v>54318</v>
          </cell>
          <cell r="F21">
            <v>54865</v>
          </cell>
          <cell r="G21">
            <v>1519</v>
          </cell>
          <cell r="H21">
            <v>25673</v>
          </cell>
          <cell r="I21">
            <v>3500</v>
          </cell>
          <cell r="J21">
            <v>12000</v>
          </cell>
          <cell r="K21">
            <v>1189043</v>
          </cell>
          <cell r="L21">
            <v>1163371</v>
          </cell>
        </row>
        <row r="22">
          <cell r="B22" t="str">
            <v>BOL MAXX PUP CITY 1.3 LX CBC</v>
          </cell>
          <cell r="C22">
            <v>763499</v>
          </cell>
          <cell r="D22">
            <v>0</v>
          </cell>
          <cell r="E22">
            <v>46629</v>
          </cell>
          <cell r="F22">
            <v>41722</v>
          </cell>
          <cell r="G22">
            <v>1519</v>
          </cell>
          <cell r="H22">
            <v>19087</v>
          </cell>
          <cell r="I22">
            <v>3500</v>
          </cell>
          <cell r="J22">
            <v>12000</v>
          </cell>
          <cell r="K22">
            <v>887956</v>
          </cell>
          <cell r="L22">
            <v>868869</v>
          </cell>
        </row>
        <row r="23">
          <cell r="B23" t="str">
            <v>BOL MAXX PUP CITY 1.3 LX</v>
          </cell>
          <cell r="C23">
            <v>772700</v>
          </cell>
          <cell r="D23">
            <v>0</v>
          </cell>
          <cell r="E23">
            <v>46940</v>
          </cell>
          <cell r="F23">
            <v>41590</v>
          </cell>
          <cell r="G23">
            <v>1519</v>
          </cell>
          <cell r="H23">
            <v>19318</v>
          </cell>
          <cell r="I23">
            <v>3500</v>
          </cell>
          <cell r="J23">
            <v>12000</v>
          </cell>
          <cell r="K23">
            <v>897566</v>
          </cell>
          <cell r="L23">
            <v>878249</v>
          </cell>
        </row>
        <row r="24">
          <cell r="B24" t="str">
            <v>BOL MAXX PUP CITY 1.3 VXID</v>
          </cell>
          <cell r="C24">
            <v>791000</v>
          </cell>
          <cell r="D24">
            <v>0</v>
          </cell>
          <cell r="E24">
            <v>47343</v>
          </cell>
          <cell r="F24">
            <v>42520</v>
          </cell>
          <cell r="G24">
            <v>1519</v>
          </cell>
          <cell r="H24">
            <v>19775</v>
          </cell>
          <cell r="I24">
            <v>3500</v>
          </cell>
          <cell r="J24">
            <v>12000</v>
          </cell>
          <cell r="K24">
            <v>917657</v>
          </cell>
          <cell r="L24">
            <v>897882</v>
          </cell>
        </row>
        <row r="25">
          <cell r="B25" t="str">
            <v>BOL MAXX PUP CITY 1.3 VXID AC</v>
          </cell>
          <cell r="C25">
            <v>809400</v>
          </cell>
          <cell r="D25">
            <v>0</v>
          </cell>
          <cell r="E25">
            <v>48178</v>
          </cell>
          <cell r="F25">
            <v>43456</v>
          </cell>
          <cell r="G25">
            <v>1519</v>
          </cell>
          <cell r="H25">
            <v>20235</v>
          </cell>
          <cell r="I25">
            <v>3500</v>
          </cell>
          <cell r="J25">
            <v>12000</v>
          </cell>
          <cell r="K25">
            <v>938288</v>
          </cell>
          <cell r="L25">
            <v>918053</v>
          </cell>
        </row>
        <row r="26">
          <cell r="B26" t="str">
            <v>BOL MAXX PUP CITY 1.3 SXI AC</v>
          </cell>
          <cell r="C26">
            <v>800199</v>
          </cell>
          <cell r="D26">
            <v>0</v>
          </cell>
          <cell r="E26">
            <v>47869</v>
          </cell>
          <cell r="F26">
            <v>42988</v>
          </cell>
          <cell r="G26">
            <v>1519</v>
          </cell>
          <cell r="H26">
            <v>20005</v>
          </cell>
          <cell r="I26">
            <v>3500</v>
          </cell>
          <cell r="J26">
            <v>12000</v>
          </cell>
          <cell r="K26">
            <v>928080</v>
          </cell>
          <cell r="L26">
            <v>908075</v>
          </cell>
        </row>
        <row r="27">
          <cell r="B27" t="str">
            <v>BOL MAXX PUP CITY 1.3 MXD</v>
          </cell>
          <cell r="C27">
            <v>795600</v>
          </cell>
          <cell r="D27">
            <v>0</v>
          </cell>
          <cell r="E27">
            <v>47715</v>
          </cell>
          <cell r="F27">
            <v>42754</v>
          </cell>
          <cell r="G27">
            <v>1519</v>
          </cell>
          <cell r="H27">
            <v>19890</v>
          </cell>
          <cell r="I27">
            <v>3500</v>
          </cell>
          <cell r="J27">
            <v>12000</v>
          </cell>
          <cell r="K27">
            <v>922978</v>
          </cell>
          <cell r="L27">
            <v>903088</v>
          </cell>
        </row>
        <row r="28">
          <cell r="B28" t="str">
            <v>BOL MAXX PUP CITY LX CNG</v>
          </cell>
          <cell r="C28">
            <v>793900</v>
          </cell>
          <cell r="D28">
            <v>0</v>
          </cell>
          <cell r="E28">
            <v>47658</v>
          </cell>
          <cell r="F28">
            <v>42668</v>
          </cell>
          <cell r="G28">
            <v>1519</v>
          </cell>
          <cell r="H28">
            <v>11909</v>
          </cell>
          <cell r="I28">
            <v>3500</v>
          </cell>
          <cell r="J28">
            <v>12000</v>
          </cell>
          <cell r="K28">
            <v>913153</v>
          </cell>
          <cell r="L28">
            <v>901245</v>
          </cell>
        </row>
        <row r="29">
          <cell r="B29" t="str">
            <v>BOL PIK UP FB 1.3T - BS6.2 - PS</v>
          </cell>
          <cell r="C29">
            <v>962800</v>
          </cell>
          <cell r="D29">
            <v>0</v>
          </cell>
          <cell r="E29">
            <v>52222</v>
          </cell>
          <cell r="F29">
            <v>51256</v>
          </cell>
          <cell r="G29">
            <v>1519</v>
          </cell>
          <cell r="H29">
            <v>24070</v>
          </cell>
          <cell r="I29">
            <v>3500</v>
          </cell>
          <cell r="J29">
            <v>12000</v>
          </cell>
          <cell r="K29">
            <v>1107367</v>
          </cell>
          <cell r="L29">
            <v>1083297</v>
          </cell>
        </row>
        <row r="30">
          <cell r="B30" t="str">
            <v>BOL PIK UP FB 1.3T - BS6.2 - PS AC</v>
          </cell>
          <cell r="C30">
            <v>985700</v>
          </cell>
          <cell r="D30">
            <v>0</v>
          </cell>
          <cell r="E30">
            <v>52969</v>
          </cell>
          <cell r="F30">
            <v>52420</v>
          </cell>
          <cell r="G30">
            <v>1519</v>
          </cell>
          <cell r="H30">
            <v>24643</v>
          </cell>
          <cell r="I30">
            <v>3500</v>
          </cell>
          <cell r="J30">
            <v>12000</v>
          </cell>
          <cell r="K30">
            <v>1132751</v>
          </cell>
          <cell r="L30">
            <v>1108108</v>
          </cell>
        </row>
        <row r="31">
          <cell r="B31" t="str">
            <v>BOL CAMPER 2WD POWER STEERING BS6.2 - NEW</v>
          </cell>
          <cell r="C31">
            <v>970000</v>
          </cell>
          <cell r="D31">
            <v>0</v>
          </cell>
          <cell r="E31">
            <v>53339</v>
          </cell>
          <cell r="F31">
            <v>51622</v>
          </cell>
          <cell r="G31">
            <v>1519</v>
          </cell>
          <cell r="H31">
            <v>24250</v>
          </cell>
          <cell r="I31">
            <v>3500</v>
          </cell>
          <cell r="J31">
            <v>16000</v>
          </cell>
          <cell r="K31">
            <v>1120230</v>
          </cell>
          <cell r="L31">
            <v>1095980</v>
          </cell>
        </row>
        <row r="32">
          <cell r="B32" t="str">
            <v>BOL CAMPER 2WD POWER STEERING BS6.2 - CV</v>
          </cell>
          <cell r="C32">
            <v>885500</v>
          </cell>
          <cell r="D32">
            <v>0</v>
          </cell>
          <cell r="E32">
            <v>49695</v>
          </cell>
          <cell r="F32">
            <v>47325</v>
          </cell>
          <cell r="G32">
            <v>1519</v>
          </cell>
          <cell r="H32">
            <v>22138</v>
          </cell>
          <cell r="I32">
            <v>3500</v>
          </cell>
          <cell r="J32">
            <v>16000</v>
          </cell>
          <cell r="K32">
            <v>1025677</v>
          </cell>
          <cell r="L32">
            <v>1003539</v>
          </cell>
        </row>
        <row r="33">
          <cell r="B33" t="str">
            <v>BOL CAMPER 4WD POWER STEERING BS6.2 - NEW</v>
          </cell>
          <cell r="C33">
            <v>997700</v>
          </cell>
          <cell r="D33">
            <v>0</v>
          </cell>
          <cell r="E33">
            <v>53362</v>
          </cell>
          <cell r="F33">
            <v>53031</v>
          </cell>
          <cell r="G33">
            <v>1519</v>
          </cell>
          <cell r="H33">
            <v>24943</v>
          </cell>
          <cell r="I33">
            <v>3500</v>
          </cell>
          <cell r="J33">
            <v>16000</v>
          </cell>
          <cell r="K33">
            <v>1150054</v>
          </cell>
          <cell r="L33">
            <v>1125111</v>
          </cell>
        </row>
        <row r="34">
          <cell r="B34" t="str">
            <v>BOL CAMPER GOLD ZX 2WD BS6.2 - NEW</v>
          </cell>
          <cell r="C34">
            <v>999900</v>
          </cell>
          <cell r="D34">
            <v>0</v>
          </cell>
          <cell r="E34">
            <v>53432</v>
          </cell>
          <cell r="F34">
            <v>53142</v>
          </cell>
          <cell r="G34">
            <v>1519</v>
          </cell>
          <cell r="H34">
            <v>24998</v>
          </cell>
          <cell r="I34">
            <v>3500</v>
          </cell>
          <cell r="J34">
            <v>14000</v>
          </cell>
          <cell r="K34">
            <v>1150491</v>
          </cell>
          <cell r="L34">
            <v>1125493</v>
          </cell>
        </row>
        <row r="35">
          <cell r="B35" t="str">
            <v>BOL CAMPER GOLD VX 2WD POWER STEERING BS6.2 - CV</v>
          </cell>
          <cell r="C35">
            <v>922200</v>
          </cell>
          <cell r="D35">
            <v>0</v>
          </cell>
          <cell r="E35">
            <v>50896</v>
          </cell>
          <cell r="F35">
            <v>49192</v>
          </cell>
          <cell r="G35">
            <v>1519</v>
          </cell>
          <cell r="H35">
            <v>23055</v>
          </cell>
          <cell r="I35">
            <v>3500</v>
          </cell>
          <cell r="J35">
            <v>14000</v>
          </cell>
          <cell r="K35">
            <v>1064361</v>
          </cell>
          <cell r="L35">
            <v>1041306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ge002"/>
      <sheetName val="Page001"/>
      <sheetName val="Sheet1"/>
    </sheetNames>
    <sheetDataSet>
      <sheetData sheetId="0" refreshError="1"/>
      <sheetData sheetId="1">
        <row r="1">
          <cell r="B1" t="str">
            <v>Variant</v>
          </cell>
          <cell r="C1" t="str">
            <v>Total Scheme
with GST
(M&amp;M + Dealer)</v>
          </cell>
        </row>
        <row r="2">
          <cell r="B2" t="str">
            <v>MAXX PUP CITY LX</v>
          </cell>
          <cell r="C2">
            <v>35000</v>
          </cell>
        </row>
        <row r="3">
          <cell r="B3" t="str">
            <v>MAXX PUP CITY LX CBC</v>
          </cell>
          <cell r="C3">
            <v>35000</v>
          </cell>
        </row>
        <row r="4">
          <cell r="B4" t="str">
            <v>MAXX PUP CITY VX</v>
          </cell>
          <cell r="C4">
            <v>35000</v>
          </cell>
        </row>
        <row r="5">
          <cell r="B5" t="str">
            <v>MAXX CITY 1.3 LX BS6.2</v>
          </cell>
          <cell r="C5">
            <v>35000</v>
          </cell>
        </row>
        <row r="6">
          <cell r="B6" t="str">
            <v>MAXX CITY 1.3 LX BS6.2 - Special Edition</v>
          </cell>
          <cell r="C6">
            <v>35000</v>
          </cell>
        </row>
        <row r="7">
          <cell r="B7" t="str">
            <v>MAXX CITY 1.3 LX CBC BS6.2</v>
          </cell>
          <cell r="C7">
            <v>35000</v>
          </cell>
        </row>
        <row r="8">
          <cell r="B8" t="str">
            <v>MAXX CITY 1.3 LX CBC BS6.2 - Reefer VAN Negative Temp</v>
          </cell>
          <cell r="C8">
            <v>35000</v>
          </cell>
        </row>
        <row r="9">
          <cell r="B9" t="str">
            <v>MAXX CITY 1.3 MXi BS6.2</v>
          </cell>
          <cell r="C9">
            <v>35000</v>
          </cell>
        </row>
        <row r="10">
          <cell r="B10" t="str">
            <v>MAXX CITY 1.3 SXi AC - BS6.2</v>
          </cell>
          <cell r="C10">
            <v>35000</v>
          </cell>
        </row>
        <row r="11">
          <cell r="B11" t="str">
            <v>MAXX CITY 1.3 VXi AC - BS6.2</v>
          </cell>
          <cell r="C11">
            <v>35000</v>
          </cell>
        </row>
        <row r="12">
          <cell r="B12" t="str">
            <v>MAXX CITY 1.3 VXi AC - BS6.2 - Special Edition</v>
          </cell>
          <cell r="C12">
            <v>35000</v>
          </cell>
        </row>
        <row r="13">
          <cell r="B13" t="str">
            <v>MAXX CITY 1.3 VXi BS6.2</v>
          </cell>
          <cell r="C13">
            <v>35000</v>
          </cell>
        </row>
        <row r="14">
          <cell r="B14" t="str">
            <v>MAXX CITY 1.4 LX BS6.2</v>
          </cell>
          <cell r="C14">
            <v>25000</v>
          </cell>
        </row>
        <row r="15">
          <cell r="B15" t="str">
            <v>MAXX CITY 1.4 LX CBC BS6.2</v>
          </cell>
          <cell r="C15">
            <v>25000</v>
          </cell>
        </row>
        <row r="16">
          <cell r="B16" t="str">
            <v>MAXX CITY 1.4 MXi BS6.2</v>
          </cell>
          <cell r="C16">
            <v>25000</v>
          </cell>
        </row>
        <row r="17">
          <cell r="B17" t="str">
            <v>MAXX CITY 1.4 VXi AC - BS6.2</v>
          </cell>
          <cell r="C17">
            <v>25000</v>
          </cell>
        </row>
        <row r="18">
          <cell r="B18" t="str">
            <v>MAXX CITY 1.4 VXi BS6.2</v>
          </cell>
          <cell r="C18">
            <v>25000</v>
          </cell>
        </row>
        <row r="19">
          <cell r="B19" t="str">
            <v>MAXX CITY 1.5 LX BS6.2</v>
          </cell>
          <cell r="C19">
            <v>32000</v>
          </cell>
        </row>
        <row r="20">
          <cell r="B20" t="str">
            <v>MAXX CITY 1.5 LX CBC BS6.2</v>
          </cell>
          <cell r="C20">
            <v>32000</v>
          </cell>
        </row>
        <row r="21">
          <cell r="B21" t="str">
            <v>MAXX CITY 1.5 MXi BS6.2</v>
          </cell>
          <cell r="C21">
            <v>25000</v>
          </cell>
        </row>
        <row r="22">
          <cell r="B22" t="str">
            <v>MAXX CITY 1.5 VXi AC - BS6.2</v>
          </cell>
          <cell r="C22">
            <v>32000</v>
          </cell>
        </row>
        <row r="23">
          <cell r="B23" t="str">
            <v>MAXX CITY 1.5 VXi BS6.2 - Gold</v>
          </cell>
          <cell r="C23">
            <v>25000</v>
          </cell>
        </row>
        <row r="24">
          <cell r="B24" t="str">
            <v>MAXX CITY LX CBC CNG BS6.2</v>
          </cell>
          <cell r="C24">
            <v>65000</v>
          </cell>
        </row>
        <row r="25">
          <cell r="B25" t="str">
            <v>MAXX CITY LX CNG BS6.2</v>
          </cell>
          <cell r="C25">
            <v>65000</v>
          </cell>
        </row>
        <row r="26">
          <cell r="B26" t="str">
            <v>MAXX CITY LX CNG BS6.2 - Tipper / Hopper</v>
          </cell>
          <cell r="C26">
            <v>65000</v>
          </cell>
        </row>
        <row r="27">
          <cell r="B27" t="str">
            <v>MAXX HD 1.3 LX BS6.2</v>
          </cell>
          <cell r="C27">
            <v>18000</v>
          </cell>
        </row>
        <row r="28">
          <cell r="B28" t="str">
            <v>MAXX HD 1.3 VXi AC - BS6.2</v>
          </cell>
          <cell r="C28">
            <v>23000</v>
          </cell>
        </row>
        <row r="29">
          <cell r="B29" t="str">
            <v>MAXX HD 1.7 LX BS6.2</v>
          </cell>
          <cell r="C29">
            <v>26000</v>
          </cell>
        </row>
        <row r="30">
          <cell r="B30" t="str">
            <v>MAXX HD 1.7 LX CBC BS6.2</v>
          </cell>
          <cell r="C30">
            <v>26000</v>
          </cell>
        </row>
        <row r="31">
          <cell r="B31" t="str">
            <v>MAXX HD 1.7 LX CBC BS6.2 - Reefer VAN Negative Temp</v>
          </cell>
          <cell r="C31">
            <v>26000</v>
          </cell>
        </row>
        <row r="32">
          <cell r="B32" t="str">
            <v>MAXX HD 1.7 LX CBC BS6.2 - Tipper / Hopper</v>
          </cell>
          <cell r="C32">
            <v>26000</v>
          </cell>
        </row>
        <row r="33">
          <cell r="B33" t="str">
            <v>MAXX HD 1.7 MXi BS6.2</v>
          </cell>
          <cell r="C33">
            <v>32000</v>
          </cell>
        </row>
        <row r="34">
          <cell r="B34" t="str">
            <v>MAXX HD 1.7 VXi AC - BS6.2</v>
          </cell>
          <cell r="C34">
            <v>26000</v>
          </cell>
        </row>
        <row r="35">
          <cell r="B35" t="str">
            <v>MAXX HD 1.7 VXi AC - BS6.2 - Special Edition</v>
          </cell>
          <cell r="C35">
            <v>26000</v>
          </cell>
        </row>
        <row r="36">
          <cell r="B36" t="str">
            <v>MAXX HD 1.7 VXi BS6.2</v>
          </cell>
          <cell r="C36">
            <v>32000</v>
          </cell>
        </row>
        <row r="37">
          <cell r="B37" t="str">
            <v>MAXX HD 1.7L LX BS6.2</v>
          </cell>
          <cell r="C37">
            <v>26000</v>
          </cell>
        </row>
        <row r="38">
          <cell r="B38" t="str">
            <v>MAXX HD 1.7L MXi BS6.2</v>
          </cell>
          <cell r="C38">
            <v>32000</v>
          </cell>
        </row>
        <row r="39">
          <cell r="B39" t="str">
            <v>MAXX HD 1.7L SXi AC - BS6.2</v>
          </cell>
          <cell r="C39">
            <v>25000</v>
          </cell>
        </row>
        <row r="40">
          <cell r="B40" t="str">
            <v>MAXX HD 1.7L VXi BS6.2</v>
          </cell>
          <cell r="C40">
            <v>32000</v>
          </cell>
        </row>
        <row r="41">
          <cell r="B41" t="str">
            <v>MAXX HD 1.9 Vxi CNG BS6.2</v>
          </cell>
          <cell r="C41">
            <v>65000</v>
          </cell>
        </row>
        <row r="42">
          <cell r="B42" t="str">
            <v>MAXX HD 2.0L LX BS6.2</v>
          </cell>
          <cell r="C42">
            <v>24500</v>
          </cell>
        </row>
        <row r="43">
          <cell r="B43" t="str">
            <v>MAXX HD 2.0L LX CBC BS6.2</v>
          </cell>
          <cell r="C43">
            <v>24500</v>
          </cell>
        </row>
        <row r="44">
          <cell r="B44" t="str">
            <v>MAXX HD 2.0L LX CBC BS6.2 - Reefer VAN Negative Temp</v>
          </cell>
          <cell r="C44">
            <v>24500</v>
          </cell>
        </row>
        <row r="45">
          <cell r="B45" t="str">
            <v>MAXX HD 2.0L MXi BS6.2</v>
          </cell>
          <cell r="C45">
            <v>23000</v>
          </cell>
        </row>
        <row r="46">
          <cell r="B46" t="str">
            <v>MAXX HD 2.0L SXi AC - BS6.2</v>
          </cell>
          <cell r="C46">
            <v>24500</v>
          </cell>
        </row>
        <row r="47">
          <cell r="B47" t="str">
            <v>MAXX HD 2.0L SXi CBC AC - BS6.2</v>
          </cell>
          <cell r="C47">
            <v>24500</v>
          </cell>
        </row>
        <row r="48">
          <cell r="B48" t="str">
            <v>MAXX HD 2.0L VXi AC - BS6.2</v>
          </cell>
          <cell r="C48">
            <v>23000</v>
          </cell>
        </row>
        <row r="49">
          <cell r="B49" t="str">
            <v>MAXX HD 2.0L VXi AC - BS6.2 - Special Edition</v>
          </cell>
          <cell r="C49">
            <v>23000</v>
          </cell>
        </row>
        <row r="50">
          <cell r="B50" t="str">
            <v>MAXX HD 2.0L VXi BS6.2</v>
          </cell>
          <cell r="C50">
            <v>23000</v>
          </cell>
        </row>
        <row r="51">
          <cell r="B51" t="str">
            <v>MAXX HD LX CNG BS6.2</v>
          </cell>
          <cell r="C51">
            <v>65000</v>
          </cell>
        </row>
        <row r="52">
          <cell r="B52" t="str">
            <v>BIG BOL PIK UP FB 1.7T - BS6 - PS</v>
          </cell>
          <cell r="C52">
            <v>18000</v>
          </cell>
        </row>
        <row r="53">
          <cell r="B53" t="str">
            <v>BOL CAMPER 2WD POWER STEERING BS6.2 - CV</v>
          </cell>
          <cell r="C53">
            <v>13500</v>
          </cell>
        </row>
        <row r="54">
          <cell r="B54" t="str">
            <v>BOL CAMPER 2WD POWER STEERING BS6.2 - NEW</v>
          </cell>
          <cell r="C54">
            <v>13500</v>
          </cell>
        </row>
        <row r="55">
          <cell r="B55" t="str">
            <v>BOL CAMPER 4WD POWER STEERING BS6.2 - NEW</v>
          </cell>
          <cell r="C55">
            <v>13500</v>
          </cell>
        </row>
        <row r="56">
          <cell r="B56" t="str">
            <v>BOL CAMPER GOLD VX 2WD POWER STEERING BS6.2 - CV</v>
          </cell>
          <cell r="C56">
            <v>13500</v>
          </cell>
        </row>
        <row r="57">
          <cell r="B57" t="str">
            <v>BOL CAMPER GOLD ZX 2WD BS6.2 - NEW</v>
          </cell>
          <cell r="C57">
            <v>13500</v>
          </cell>
        </row>
        <row r="58">
          <cell r="B58" t="str">
            <v>BOL CAMPER GOLD ZX 2WD BS6.2 - NEW - CBC</v>
          </cell>
          <cell r="C58">
            <v>13500</v>
          </cell>
        </row>
        <row r="59">
          <cell r="B59" t="str">
            <v>BOL PIK UP 4WD BS6 - PS</v>
          </cell>
          <cell r="C59">
            <v>10000</v>
          </cell>
        </row>
        <row r="60">
          <cell r="B60" t="str">
            <v>BOL PIK UP 4WD BS6.2 - PS</v>
          </cell>
          <cell r="C60">
            <v>10000</v>
          </cell>
        </row>
        <row r="61">
          <cell r="B61" t="str">
            <v>BOL PIK UP CBC 1.3T - BS6.2 - MS</v>
          </cell>
          <cell r="C61">
            <v>15000</v>
          </cell>
        </row>
        <row r="62">
          <cell r="B62" t="str">
            <v>BOL PIK UP CBC 4WD BS6.2 - PS</v>
          </cell>
          <cell r="C62">
            <v>10000</v>
          </cell>
        </row>
        <row r="63">
          <cell r="B63" t="str">
            <v>BOL PIK UP FB 1.3T - BS6 - MS</v>
          </cell>
          <cell r="C63">
            <v>20000</v>
          </cell>
        </row>
        <row r="64">
          <cell r="B64" t="str">
            <v>BOL PIK UP FB 1.3T - BS6 - PS</v>
          </cell>
          <cell r="C64">
            <v>20000</v>
          </cell>
        </row>
        <row r="65">
          <cell r="B65" t="str">
            <v>BOL PIK UP FB 1.3T - BS6.2 - MS</v>
          </cell>
          <cell r="C65">
            <v>20000</v>
          </cell>
        </row>
        <row r="66">
          <cell r="B66" t="str">
            <v>BOL PIK UP FB 1.3T - BS6.2 - PS</v>
          </cell>
          <cell r="C66">
            <v>20000</v>
          </cell>
        </row>
        <row r="67">
          <cell r="B67" t="str">
            <v>BOL PIK UP FB 1.3T - BS6.2 - PS AC</v>
          </cell>
          <cell r="C67">
            <v>20000</v>
          </cell>
        </row>
      </sheetData>
      <sheetData sheetId="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4AE078-4B16-48B9-8BF3-4669B8F5320F}" name="Vehicle_Model" displayName="Vehicle_Model" ref="A1:A44" totalsRowShown="0" headerRowDxfId="4" headerRowBorderDxfId="3" tableBorderDxfId="2" totalsRowBorderDxfId="1">
  <autoFilter ref="A1:A44" xr:uid="{872D1F9E-68E2-4FA8-806D-2A1889730C7F}"/>
  <tableColumns count="1">
    <tableColumn id="1" xr3:uid="{89CC6FEA-DA6F-4E5E-BBF2-524328D29EB1}" name="Varian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97A5D-75B1-45E6-A53D-CFAC6F741ABF}">
  <sheetPr codeName="Sheet1"/>
  <dimension ref="A1:O34"/>
  <sheetViews>
    <sheetView showGridLines="0" tabSelected="1" zoomScaleNormal="100" workbookViewId="0">
      <selection activeCell="D3" sqref="D3"/>
    </sheetView>
  </sheetViews>
  <sheetFormatPr defaultRowHeight="15"/>
  <cols>
    <col min="2" max="2" width="12.140625" customWidth="1"/>
    <col min="3" max="3" width="47.5703125" bestFit="1" customWidth="1"/>
    <col min="4" max="4" width="60.7109375" customWidth="1"/>
    <col min="5" max="5" width="3.85546875" customWidth="1"/>
    <col min="6" max="6" width="3.140625" customWidth="1"/>
    <col min="7" max="7" width="79.85546875" customWidth="1"/>
  </cols>
  <sheetData>
    <row r="1" spans="1:1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6.5" thickBot="1">
      <c r="A2" s="9"/>
      <c r="B2" s="9"/>
      <c r="C2" s="9"/>
      <c r="D2" s="10" t="s">
        <v>53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ht="18.75">
      <c r="A3" s="9"/>
      <c r="B3" s="9"/>
      <c r="C3" s="9"/>
      <c r="D3" s="11" t="s">
        <v>30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ht="15.75" thickBo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8.75">
      <c r="A5" s="9"/>
      <c r="B5" s="45" t="s">
        <v>58</v>
      </c>
      <c r="C5" s="18" t="s">
        <v>59</v>
      </c>
      <c r="D5" s="20">
        <f>IFERROR(VLOOKUP($D$3,Sheet1!$B$2:$O$45,MATCH(Report!$C5,Sheet1!$B$2:$O$2,0),0),"")</f>
        <v>772700</v>
      </c>
      <c r="E5" s="9"/>
      <c r="F5" s="43" t="s">
        <v>87</v>
      </c>
      <c r="G5" s="43" t="s">
        <v>88</v>
      </c>
      <c r="H5" s="9"/>
      <c r="I5" s="9"/>
      <c r="J5" s="9"/>
      <c r="K5" s="9"/>
      <c r="L5" s="9"/>
      <c r="M5" s="9"/>
      <c r="N5" s="9"/>
      <c r="O5" s="9"/>
    </row>
    <row r="6" spans="1:15" ht="18.75">
      <c r="A6" s="9"/>
      <c r="B6" s="46"/>
      <c r="C6" s="19" t="s">
        <v>55</v>
      </c>
      <c r="D6" s="21">
        <f>IFERROR(VLOOKUP($D$3,Sheet1!$B$2:$O$45,MATCH(Report!$C6,Sheet1!$B$2:$O$2,0),0),"")</f>
        <v>0</v>
      </c>
      <c r="E6" s="9"/>
      <c r="F6" s="41">
        <v>1</v>
      </c>
      <c r="G6" s="42" t="s">
        <v>85</v>
      </c>
      <c r="H6" s="9"/>
      <c r="I6" s="9"/>
      <c r="J6" s="9"/>
      <c r="K6" s="9"/>
      <c r="L6" s="9"/>
      <c r="M6" s="9"/>
      <c r="N6" s="9"/>
      <c r="O6" s="9"/>
    </row>
    <row r="7" spans="1:15" ht="18.75">
      <c r="A7" s="9"/>
      <c r="B7" s="46"/>
      <c r="C7" s="19" t="s">
        <v>64</v>
      </c>
      <c r="D7" s="22">
        <f>IFERROR(VLOOKUP($D$3,Sheet1!$B$2:$O$45,MATCH(Report!$C7,Sheet1!$B$2:$O$2,0),0),"")</f>
        <v>46940</v>
      </c>
      <c r="E7" s="9"/>
      <c r="F7" s="41">
        <v>2</v>
      </c>
      <c r="G7" s="42" t="s">
        <v>86</v>
      </c>
      <c r="H7" s="9"/>
      <c r="I7" s="9"/>
      <c r="J7" s="9"/>
      <c r="K7" s="9"/>
      <c r="L7" s="9"/>
      <c r="M7" s="9"/>
      <c r="N7" s="9"/>
      <c r="O7" s="9"/>
    </row>
    <row r="8" spans="1:15" ht="30">
      <c r="A8" s="9"/>
      <c r="B8" s="46"/>
      <c r="C8" s="19" t="s">
        <v>65</v>
      </c>
      <c r="D8" s="22">
        <f>IFERROR(VLOOKUP($D$3,Sheet1!$B$2:$O$45,MATCH(Report!$C8,Sheet1!$B$2:$O$2,0),0),"")</f>
        <v>41590</v>
      </c>
      <c r="E8" s="9"/>
      <c r="F8" s="41">
        <v>3</v>
      </c>
      <c r="G8" s="44" t="s">
        <v>81</v>
      </c>
      <c r="H8" s="9"/>
      <c r="I8" s="9"/>
      <c r="J8" s="9"/>
      <c r="K8" s="9"/>
      <c r="L8" s="9"/>
      <c r="M8" s="9"/>
      <c r="N8" s="9"/>
      <c r="O8" s="9"/>
    </row>
    <row r="9" spans="1:15" ht="18.75">
      <c r="A9" s="9"/>
      <c r="B9" s="46"/>
      <c r="C9" s="19" t="s">
        <v>66</v>
      </c>
      <c r="D9" s="22">
        <f>IFERROR(VLOOKUP($D$3,Sheet1!$B$2:$O$45,MATCH(Report!$C9,Sheet1!$B$2:$O$2,0),0),"")</f>
        <v>1519</v>
      </c>
      <c r="E9" s="9"/>
      <c r="F9" s="41">
        <v>4</v>
      </c>
      <c r="G9" s="44" t="s">
        <v>99</v>
      </c>
      <c r="H9" s="9"/>
      <c r="I9" s="9"/>
      <c r="J9" s="9"/>
      <c r="K9" s="9"/>
      <c r="L9" s="9"/>
      <c r="M9" s="9"/>
      <c r="N9" s="9"/>
      <c r="O9" s="9"/>
    </row>
    <row r="10" spans="1:15" ht="30">
      <c r="A10" s="9"/>
      <c r="B10" s="46"/>
      <c r="C10" s="19" t="s">
        <v>67</v>
      </c>
      <c r="D10" s="22">
        <f>IFERROR(VLOOKUP($D$3,Sheet1!$B$2:$O$45,MATCH(Report!$C10,Sheet1!$B$2:$O$2,0),0),"")</f>
        <v>19318</v>
      </c>
      <c r="E10" s="9"/>
      <c r="F10" s="41">
        <v>5</v>
      </c>
      <c r="G10" s="44" t="s">
        <v>100</v>
      </c>
      <c r="H10" s="9"/>
      <c r="I10" s="9"/>
      <c r="J10" s="9"/>
      <c r="K10" s="9"/>
      <c r="L10" s="9"/>
      <c r="M10" s="9"/>
      <c r="N10" s="9"/>
      <c r="O10" s="9"/>
    </row>
    <row r="11" spans="1:15" ht="18.75">
      <c r="A11" s="9"/>
      <c r="B11" s="46"/>
      <c r="C11" s="19" t="s">
        <v>56</v>
      </c>
      <c r="D11" s="22">
        <f>IFERROR(VLOOKUP($D$3,Sheet1!$B$2:$O$45,MATCH(Report!$C11,Sheet1!$B$2:$O$2,0),0),"")</f>
        <v>3500</v>
      </c>
      <c r="E11" s="9"/>
      <c r="F11" s="41">
        <v>6</v>
      </c>
      <c r="G11" s="44" t="s">
        <v>101</v>
      </c>
      <c r="H11" s="9"/>
      <c r="I11" s="9"/>
      <c r="J11" s="9"/>
      <c r="K11" s="9"/>
      <c r="L11" s="9"/>
      <c r="M11" s="9"/>
      <c r="N11" s="9"/>
      <c r="O11" s="9"/>
    </row>
    <row r="12" spans="1:15" ht="18.75">
      <c r="A12" s="9"/>
      <c r="B12" s="46"/>
      <c r="C12" s="19" t="s">
        <v>57</v>
      </c>
      <c r="D12" s="22">
        <f>IFERROR(VLOOKUP($D$3,Sheet1!$B$2:$O$45,MATCH(Report!$C12,Sheet1!$B$2:$O$2,0),0),"")</f>
        <v>12000</v>
      </c>
      <c r="E12" s="9"/>
      <c r="F12" s="41">
        <v>7</v>
      </c>
      <c r="G12" s="42" t="s">
        <v>72</v>
      </c>
      <c r="H12" s="9"/>
      <c r="I12" s="9"/>
      <c r="J12" s="9"/>
      <c r="K12" s="9"/>
      <c r="L12" s="9"/>
      <c r="M12" s="9"/>
      <c r="N12" s="9"/>
      <c r="O12" s="9"/>
    </row>
    <row r="13" spans="1:15" ht="18.75" customHeight="1">
      <c r="A13" s="9"/>
      <c r="B13" s="46"/>
      <c r="C13" s="16" t="s">
        <v>68</v>
      </c>
      <c r="D13" s="23">
        <f>IFERROR(VLOOKUP($D$3,Sheet1!$B$2:$O$45,MATCH(Report!$C13,Sheet1!$B$2:$O$2,0),0),"")</f>
        <v>897566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ht="19.5" thickBot="1">
      <c r="A14" s="9"/>
      <c r="B14" s="46"/>
      <c r="C14" s="17" t="s">
        <v>69</v>
      </c>
      <c r="D14" s="24">
        <f>IFERROR(VLOOKUP($D$3,Sheet1!$B$2:$O$45,MATCH(Report!$C14,Sheet1!$B$2:$O$2,0),0),"")</f>
        <v>878249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ht="18.75" customHeight="1">
      <c r="A15" s="9"/>
      <c r="B15" s="47" t="s">
        <v>60</v>
      </c>
      <c r="C15" s="13" t="s">
        <v>82</v>
      </c>
      <c r="D15" s="25">
        <f>IFERROR(VLOOKUP($D$3,Sheet1!$B$2:$O$45,MATCH(Report!$C15,Sheet1!$B$2:$O$2,0),0),"")</f>
        <v>35000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18.75" hidden="1">
      <c r="A16" s="9"/>
      <c r="B16" s="48"/>
      <c r="C16" s="14" t="s">
        <v>83</v>
      </c>
      <c r="D16" s="39" t="str">
        <f>IFERROR(VLOOKUP($D$3,Sheet1!$B$2:$O$45,MATCH(Report!$C16,Sheet1!$B$2:$O$2,0),0),"")</f>
        <v/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18.75" hidden="1">
      <c r="A17" s="9"/>
      <c r="B17" s="48"/>
      <c r="C17" s="33" t="s">
        <v>84</v>
      </c>
      <c r="D17" s="39" t="str">
        <f>IFERROR(VLOOKUP($D$3,Sheet1!$B$2:$O$45,MATCH(Report!$C17,Sheet1!$B$2:$O$2,0),0),"")</f>
        <v/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8.75">
      <c r="A18" s="9"/>
      <c r="B18" s="48"/>
      <c r="C18" s="33" t="s">
        <v>79</v>
      </c>
      <c r="D18" s="26" t="str">
        <f>IFERROR(VLOOKUP($D$3,Sheet1!$B$2:$O$45,MATCH(Report!$C18,Sheet1!$B$2:$O$2,0),0),"")</f>
        <v>35K +  12K Accessories + RSA FREE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19.5" thickBot="1">
      <c r="A19" s="9"/>
      <c r="B19" s="49"/>
      <c r="C19" s="15" t="s">
        <v>80</v>
      </c>
      <c r="D19" s="40">
        <f>IFERROR(VLOOKUP($D$3,Sheet1!$B$2:$O$45,MATCH(Report!$C19,Sheet1!$B$2:$O$2,0),0),"")</f>
        <v>35000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spans="1:1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spans="1:1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spans="1:1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spans="1:1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spans="1:1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spans="1:1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spans="1:1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  <row r="32" spans="1:15">
      <c r="F32" s="9"/>
      <c r="G32" s="9"/>
    </row>
    <row r="33" spans="6:7">
      <c r="F33" s="9"/>
      <c r="G33" s="9"/>
    </row>
    <row r="34" spans="6:7">
      <c r="F34" s="9"/>
      <c r="G34" s="9"/>
    </row>
  </sheetData>
  <sortState xmlns:xlrd2="http://schemas.microsoft.com/office/spreadsheetml/2017/richdata2" ref="F5:G12">
    <sortCondition ref="F5:F12"/>
  </sortState>
  <mergeCells count="2">
    <mergeCell ref="B5:B14"/>
    <mergeCell ref="B15:B19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6072EA3C-C228-4CC7-912A-B3190D504C5A}">
          <x14:formula1>
            <xm:f>_xlfn.ANCHORARRAY(MasterData!$C2)</xm:f>
          </x14:formula1>
          <xm:sqref>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3E6FD-7762-4C22-90E4-A9620B029028}">
  <sheetPr codeName="Sheet2"/>
  <dimension ref="A1:O36"/>
  <sheetViews>
    <sheetView workbookViewId="0">
      <selection sqref="A1:B1"/>
    </sheetView>
  </sheetViews>
  <sheetFormatPr defaultRowHeight="15"/>
  <cols>
    <col min="1" max="1" width="32.140625" style="12" customWidth="1"/>
    <col min="2" max="2" width="37.85546875" style="12" customWidth="1"/>
    <col min="3" max="3" width="13.7109375" style="12" customWidth="1"/>
    <col min="4" max="4" width="10.28515625" style="12" customWidth="1"/>
    <col min="5" max="5" width="13.7109375" style="12" customWidth="1"/>
    <col min="6" max="6" width="11.42578125" style="12" customWidth="1"/>
    <col min="7" max="7" width="11.140625" style="12" customWidth="1"/>
    <col min="8" max="12" width="13.7109375" style="12" customWidth="1"/>
    <col min="13" max="13" width="11.7109375" style="12" customWidth="1"/>
    <col min="14" max="14" width="40.140625" style="12" customWidth="1"/>
    <col min="15" max="15" width="10.5703125" style="12" customWidth="1"/>
    <col min="16" max="16384" width="9.140625" style="12"/>
  </cols>
  <sheetData>
    <row r="1" spans="1:15" ht="15.75" thickBot="1">
      <c r="A1" s="53" t="s">
        <v>73</v>
      </c>
      <c r="B1" s="54"/>
      <c r="C1" s="50" t="s">
        <v>61</v>
      </c>
      <c r="D1" s="51"/>
      <c r="E1" s="51"/>
      <c r="F1" s="51"/>
      <c r="G1" s="51"/>
      <c r="H1" s="51"/>
      <c r="I1" s="51"/>
      <c r="J1" s="51"/>
      <c r="K1" s="51"/>
      <c r="L1" s="52"/>
      <c r="M1" s="55" t="s">
        <v>95</v>
      </c>
      <c r="N1" s="55"/>
      <c r="O1" s="55"/>
    </row>
    <row r="2" spans="1:15" ht="75.75" thickBot="1">
      <c r="A2" s="31" t="s">
        <v>63</v>
      </c>
      <c r="B2" s="32" t="s">
        <v>54</v>
      </c>
      <c r="C2" s="5" t="s">
        <v>59</v>
      </c>
      <c r="D2" s="6" t="s">
        <v>55</v>
      </c>
      <c r="E2" s="6" t="s">
        <v>64</v>
      </c>
      <c r="F2" s="6" t="s">
        <v>65</v>
      </c>
      <c r="G2" s="6" t="s">
        <v>66</v>
      </c>
      <c r="H2" s="6" t="s">
        <v>67</v>
      </c>
      <c r="I2" s="6" t="s">
        <v>56</v>
      </c>
      <c r="J2" s="6" t="s">
        <v>57</v>
      </c>
      <c r="K2" s="6" t="s">
        <v>68</v>
      </c>
      <c r="L2" s="34" t="s">
        <v>69</v>
      </c>
      <c r="M2" s="36" t="s">
        <v>82</v>
      </c>
      <c r="N2" s="36" t="s">
        <v>79</v>
      </c>
      <c r="O2" s="36" t="s">
        <v>80</v>
      </c>
    </row>
    <row r="3" spans="1:15">
      <c r="A3" s="27" t="s">
        <v>18</v>
      </c>
      <c r="B3" s="28" t="s">
        <v>30</v>
      </c>
      <c r="C3" s="7" cm="1">
        <f t="array" ref="C3:L3">VLOOKUP(A3,'[1]Price List'!$B$1:$L$35,{2,3,4,5,6,7,8,9,10,11},FALSE)</f>
        <v>772700</v>
      </c>
      <c r="D3" s="8">
        <v>0</v>
      </c>
      <c r="E3" s="8">
        <v>46940</v>
      </c>
      <c r="F3" s="8">
        <v>41590</v>
      </c>
      <c r="G3" s="8">
        <v>1519</v>
      </c>
      <c r="H3" s="8">
        <v>19318</v>
      </c>
      <c r="I3" s="8">
        <v>3500</v>
      </c>
      <c r="J3" s="8">
        <v>12000</v>
      </c>
      <c r="K3" s="8">
        <v>897566</v>
      </c>
      <c r="L3" s="35">
        <v>878249</v>
      </c>
      <c r="M3" s="37">
        <f>VLOOKUP(B3,[2]Page001!$B$1:$C$67,2,FALSE)</f>
        <v>35000</v>
      </c>
      <c r="N3" s="38" t="s">
        <v>89</v>
      </c>
      <c r="O3" s="37">
        <v>35000</v>
      </c>
    </row>
    <row r="4" spans="1:15">
      <c r="A4" s="29" t="s">
        <v>17</v>
      </c>
      <c r="B4" s="30" t="s">
        <v>31</v>
      </c>
      <c r="C4" s="7" cm="1">
        <f t="array" ref="C4:L4">VLOOKUP(A4,'[1]Price List'!$B$1:$L$35,{2,3,4,5,6,7,8,9,10,11},FALSE)</f>
        <v>763499</v>
      </c>
      <c r="D4" s="8">
        <v>0</v>
      </c>
      <c r="E4" s="8">
        <v>46629</v>
      </c>
      <c r="F4" s="8">
        <v>41722</v>
      </c>
      <c r="G4" s="8">
        <v>1519</v>
      </c>
      <c r="H4" s="8">
        <v>19087</v>
      </c>
      <c r="I4" s="8">
        <v>3500</v>
      </c>
      <c r="J4" s="8">
        <v>12000</v>
      </c>
      <c r="K4" s="8">
        <v>887956</v>
      </c>
      <c r="L4" s="35">
        <v>868869</v>
      </c>
      <c r="M4" s="37">
        <f>VLOOKUP(B4,[2]Page001!$B$1:$C$67,2,FALSE)</f>
        <v>35000</v>
      </c>
      <c r="N4" s="38" t="s">
        <v>89</v>
      </c>
      <c r="O4" s="37">
        <v>35000</v>
      </c>
    </row>
    <row r="5" spans="1:15">
      <c r="A5" s="29" t="s">
        <v>22</v>
      </c>
      <c r="B5" s="30" t="s">
        <v>32</v>
      </c>
      <c r="C5" s="7" cm="1">
        <f t="array" ref="C5:L5">VLOOKUP(A5,'[1]Price List'!$B$1:$L$35,{2,3,4,5,6,7,8,9,10,11},FALSE)</f>
        <v>795600</v>
      </c>
      <c r="D5" s="8">
        <v>0</v>
      </c>
      <c r="E5" s="8">
        <v>47715</v>
      </c>
      <c r="F5" s="8">
        <v>42754</v>
      </c>
      <c r="G5" s="8">
        <v>1519</v>
      </c>
      <c r="H5" s="8">
        <v>19890</v>
      </c>
      <c r="I5" s="8">
        <v>3500</v>
      </c>
      <c r="J5" s="8">
        <v>12000</v>
      </c>
      <c r="K5" s="8">
        <v>922978</v>
      </c>
      <c r="L5" s="35">
        <v>903088</v>
      </c>
      <c r="M5" s="37">
        <f>VLOOKUP(B5,[2]Page001!$B$1:$C$67,2,FALSE)</f>
        <v>35000</v>
      </c>
      <c r="N5" s="38" t="s">
        <v>89</v>
      </c>
      <c r="O5" s="37">
        <v>35000</v>
      </c>
    </row>
    <row r="6" spans="1:15">
      <c r="A6" s="29" t="s">
        <v>21</v>
      </c>
      <c r="B6" s="30" t="s">
        <v>33</v>
      </c>
      <c r="C6" s="7" cm="1">
        <f t="array" ref="C6:L6">VLOOKUP(A6,'[1]Price List'!$B$1:$L$35,{2,3,4,5,6,7,8,9,10,11},FALSE)</f>
        <v>800199</v>
      </c>
      <c r="D6" s="8">
        <v>0</v>
      </c>
      <c r="E6" s="8">
        <v>47869</v>
      </c>
      <c r="F6" s="8">
        <v>42988</v>
      </c>
      <c r="G6" s="8">
        <v>1519</v>
      </c>
      <c r="H6" s="8">
        <v>20005</v>
      </c>
      <c r="I6" s="8">
        <v>3500</v>
      </c>
      <c r="J6" s="8">
        <v>12000</v>
      </c>
      <c r="K6" s="8">
        <v>928080</v>
      </c>
      <c r="L6" s="35">
        <v>908075</v>
      </c>
      <c r="M6" s="37">
        <f>VLOOKUP(B6,[2]Page001!$B$1:$C$67,2,FALSE)</f>
        <v>35000</v>
      </c>
      <c r="N6" s="38" t="s">
        <v>89</v>
      </c>
      <c r="O6" s="37">
        <v>35000</v>
      </c>
    </row>
    <row r="7" spans="1:15">
      <c r="A7" s="29" t="s">
        <v>20</v>
      </c>
      <c r="B7" s="30" t="s">
        <v>35</v>
      </c>
      <c r="C7" s="7" cm="1">
        <f t="array" ref="C7:L7">VLOOKUP(A7,'[1]Price List'!$B$1:$L$35,{2,3,4,5,6,7,8,9,10,11},FALSE)</f>
        <v>809400</v>
      </c>
      <c r="D7" s="8">
        <v>0</v>
      </c>
      <c r="E7" s="8">
        <v>48178</v>
      </c>
      <c r="F7" s="8">
        <v>43456</v>
      </c>
      <c r="G7" s="8">
        <v>1519</v>
      </c>
      <c r="H7" s="8">
        <v>20235</v>
      </c>
      <c r="I7" s="8">
        <v>3500</v>
      </c>
      <c r="J7" s="8">
        <v>12000</v>
      </c>
      <c r="K7" s="8">
        <v>938288</v>
      </c>
      <c r="L7" s="35">
        <v>918053</v>
      </c>
      <c r="M7" s="37">
        <f>VLOOKUP(B7,[2]Page001!$B$1:$C$67,2,FALSE)</f>
        <v>35000</v>
      </c>
      <c r="N7" s="38" t="s">
        <v>89</v>
      </c>
      <c r="O7" s="37">
        <v>35000</v>
      </c>
    </row>
    <row r="8" spans="1:15">
      <c r="A8" s="29" t="s">
        <v>19</v>
      </c>
      <c r="B8" s="30" t="s">
        <v>34</v>
      </c>
      <c r="C8" s="7" cm="1">
        <f t="array" ref="C8:L8">VLOOKUP(A8,'[1]Price List'!$B$1:$L$35,{2,3,4,5,6,7,8,9,10,11},FALSE)</f>
        <v>791000</v>
      </c>
      <c r="D8" s="8">
        <v>0</v>
      </c>
      <c r="E8" s="8">
        <v>47343</v>
      </c>
      <c r="F8" s="8">
        <v>42520</v>
      </c>
      <c r="G8" s="8">
        <v>1519</v>
      </c>
      <c r="H8" s="8">
        <v>19775</v>
      </c>
      <c r="I8" s="8">
        <v>3500</v>
      </c>
      <c r="J8" s="8">
        <v>12000</v>
      </c>
      <c r="K8" s="8">
        <v>917657</v>
      </c>
      <c r="L8" s="35">
        <v>897882</v>
      </c>
      <c r="M8" s="37">
        <f>VLOOKUP(B8,[2]Page001!$B$1:$C$67,2,FALSE)</f>
        <v>35000</v>
      </c>
      <c r="N8" s="38" t="s">
        <v>89</v>
      </c>
      <c r="O8" s="37">
        <v>35000</v>
      </c>
    </row>
    <row r="9" spans="1:15">
      <c r="A9" s="29" t="s">
        <v>23</v>
      </c>
      <c r="B9" s="30" t="s">
        <v>36</v>
      </c>
      <c r="C9" s="7" cm="1">
        <f t="array" ref="C9:L9">VLOOKUP(A9,'[1]Price List'!$B$1:$L$35,{2,3,4,5,6,7,8,9,10,11},FALSE)</f>
        <v>793900</v>
      </c>
      <c r="D9" s="8">
        <v>0</v>
      </c>
      <c r="E9" s="8">
        <v>47658</v>
      </c>
      <c r="F9" s="8">
        <v>42668</v>
      </c>
      <c r="G9" s="8">
        <v>1519</v>
      </c>
      <c r="H9" s="8">
        <v>11909</v>
      </c>
      <c r="I9" s="8">
        <v>3500</v>
      </c>
      <c r="J9" s="8">
        <v>12000</v>
      </c>
      <c r="K9" s="8">
        <v>913153</v>
      </c>
      <c r="L9" s="35">
        <v>901245</v>
      </c>
      <c r="M9" s="37">
        <f>VLOOKUP(B9,[2]Page001!$B$1:$C$67,2,FALSE)</f>
        <v>65000</v>
      </c>
      <c r="N9" s="38" t="s">
        <v>90</v>
      </c>
      <c r="O9" s="37">
        <v>35000</v>
      </c>
    </row>
    <row r="10" spans="1:15">
      <c r="A10" s="29" t="s">
        <v>15</v>
      </c>
      <c r="B10" s="30" t="s">
        <v>37</v>
      </c>
      <c r="C10" s="7" cm="1">
        <f t="array" ref="C10:L10">VLOOKUP(A10,'[1]Price List'!$B$1:$L$35,{2,3,4,5,6,7,8,9,10,11},FALSE)</f>
        <v>916700</v>
      </c>
      <c r="D10" s="8">
        <v>0</v>
      </c>
      <c r="E10" s="8">
        <v>50714</v>
      </c>
      <c r="F10" s="8">
        <v>48912</v>
      </c>
      <c r="G10" s="8">
        <v>1519</v>
      </c>
      <c r="H10" s="8">
        <v>22918</v>
      </c>
      <c r="I10" s="8">
        <v>3500</v>
      </c>
      <c r="J10" s="8">
        <v>12000</v>
      </c>
      <c r="K10" s="8">
        <v>1056262</v>
      </c>
      <c r="L10" s="35">
        <v>1033345</v>
      </c>
      <c r="M10" s="37">
        <f>VLOOKUP(B10,[2]Page001!$B$1:$C$67,2,FALSE)</f>
        <v>18000</v>
      </c>
      <c r="N10" s="38" t="s">
        <v>94</v>
      </c>
      <c r="O10" s="37">
        <v>35000</v>
      </c>
    </row>
    <row r="11" spans="1:15">
      <c r="A11" s="29" t="s">
        <v>16</v>
      </c>
      <c r="B11" s="30" t="s">
        <v>38</v>
      </c>
      <c r="C11" s="7" cm="1">
        <f t="array" ref="C11:L11">VLOOKUP(A11,'[1]Price List'!$B$1:$L$35,{2,3,4,5,6,7,8,9,10,11},FALSE)</f>
        <v>962600</v>
      </c>
      <c r="D11" s="8">
        <v>0</v>
      </c>
      <c r="E11" s="8">
        <v>52213</v>
      </c>
      <c r="F11" s="8">
        <v>51246</v>
      </c>
      <c r="G11" s="8">
        <v>1519</v>
      </c>
      <c r="H11" s="8">
        <v>24065</v>
      </c>
      <c r="I11" s="8">
        <v>3500</v>
      </c>
      <c r="J11" s="8">
        <v>12000</v>
      </c>
      <c r="K11" s="8">
        <v>1107143</v>
      </c>
      <c r="L11" s="35">
        <v>1083078</v>
      </c>
      <c r="M11" s="37">
        <f>VLOOKUP(B11,[2]Page001!$B$1:$C$67,2,FALSE)</f>
        <v>23000</v>
      </c>
      <c r="N11" s="38" t="s">
        <v>94</v>
      </c>
      <c r="O11" s="37">
        <v>35000</v>
      </c>
    </row>
    <row r="12" spans="1:15">
      <c r="A12" s="29" t="s">
        <v>2</v>
      </c>
      <c r="B12" s="30" t="s">
        <v>39</v>
      </c>
      <c r="C12" s="7" cm="1">
        <f t="array" ref="C12:L12">VLOOKUP(A12,'[1]Price List'!$B$1:$L$35,{2,3,4,5,6,7,8,9,10,11},FALSE)</f>
        <v>926900</v>
      </c>
      <c r="D12" s="8">
        <v>0</v>
      </c>
      <c r="E12" s="8">
        <v>51048</v>
      </c>
      <c r="F12" s="8">
        <v>49781</v>
      </c>
      <c r="G12" s="8">
        <v>1519</v>
      </c>
      <c r="H12" s="8">
        <v>23173</v>
      </c>
      <c r="I12" s="8">
        <v>3500</v>
      </c>
      <c r="J12" s="8">
        <v>12000</v>
      </c>
      <c r="K12" s="8">
        <v>1067920</v>
      </c>
      <c r="L12" s="35">
        <v>1044748</v>
      </c>
      <c r="M12" s="37">
        <f>VLOOKUP(B12,[2]Page001!$B$1:$C$67,2,FALSE)</f>
        <v>26000</v>
      </c>
      <c r="N12" s="38" t="s">
        <v>96</v>
      </c>
      <c r="O12" s="37">
        <v>35000</v>
      </c>
    </row>
    <row r="13" spans="1:15">
      <c r="A13" s="29" t="s">
        <v>1</v>
      </c>
      <c r="B13" s="30" t="s">
        <v>40</v>
      </c>
      <c r="C13" s="7" cm="1">
        <f t="array" ref="C13:L13">VLOOKUP(A13,'[1]Price List'!$B$1:$L$35,{2,3,4,5,6,7,8,9,10,11},FALSE)</f>
        <v>902000</v>
      </c>
      <c r="D13" s="8">
        <v>0</v>
      </c>
      <c r="E13" s="8">
        <v>50233</v>
      </c>
      <c r="F13" s="8">
        <v>49114</v>
      </c>
      <c r="G13" s="8">
        <v>1519</v>
      </c>
      <c r="H13" s="8">
        <v>22550</v>
      </c>
      <c r="I13" s="8">
        <v>3500</v>
      </c>
      <c r="J13" s="8">
        <v>12000</v>
      </c>
      <c r="K13" s="8">
        <v>1040916</v>
      </c>
      <c r="L13" s="35">
        <v>1018366</v>
      </c>
      <c r="M13" s="37">
        <f>VLOOKUP(B13,[2]Page001!$B$1:$C$67,2,FALSE)</f>
        <v>26000</v>
      </c>
      <c r="N13" s="38" t="s">
        <v>96</v>
      </c>
      <c r="O13" s="37">
        <v>35000</v>
      </c>
    </row>
    <row r="14" spans="1:15">
      <c r="A14" s="29" t="s">
        <v>5</v>
      </c>
      <c r="B14" s="30" t="s">
        <v>41</v>
      </c>
      <c r="C14" s="7" cm="1">
        <f t="array" ref="C14:L14">VLOOKUP(A14,'[1]Price List'!$B$1:$L$35,{2,3,4,5,6,7,8,9,10,11},FALSE)</f>
        <v>954400</v>
      </c>
      <c r="D14" s="8">
        <v>0</v>
      </c>
      <c r="E14" s="8">
        <v>51947</v>
      </c>
      <c r="F14" s="8">
        <v>51179</v>
      </c>
      <c r="G14" s="8">
        <v>1519</v>
      </c>
      <c r="H14" s="8">
        <v>23860</v>
      </c>
      <c r="I14" s="8">
        <v>3500</v>
      </c>
      <c r="J14" s="8">
        <v>12000</v>
      </c>
      <c r="K14" s="8">
        <v>1098404</v>
      </c>
      <c r="L14" s="35">
        <v>1074544</v>
      </c>
      <c r="M14" s="37">
        <f>VLOOKUP(B14,[2]Page001!$B$1:$C$67,2,FALSE)</f>
        <v>32000</v>
      </c>
      <c r="N14" s="38" t="s">
        <v>91</v>
      </c>
      <c r="O14" s="37">
        <v>35000</v>
      </c>
    </row>
    <row r="15" spans="1:15">
      <c r="A15" s="29" t="s">
        <v>4</v>
      </c>
      <c r="B15" s="30" t="s">
        <v>43</v>
      </c>
      <c r="C15" s="7" cm="1">
        <f t="array" ref="C15:L15">VLOOKUP(A15,'[1]Price List'!$B$1:$L$35,{2,3,4,5,6,7,8,9,10,11},FALSE)</f>
        <v>968201</v>
      </c>
      <c r="D15" s="8">
        <v>0</v>
      </c>
      <c r="E15" s="8">
        <v>52396</v>
      </c>
      <c r="F15" s="8">
        <v>51881</v>
      </c>
      <c r="G15" s="8">
        <v>1519</v>
      </c>
      <c r="H15" s="8">
        <v>24205</v>
      </c>
      <c r="I15" s="8">
        <v>3500</v>
      </c>
      <c r="J15" s="8">
        <v>12000</v>
      </c>
      <c r="K15" s="8">
        <v>1113703</v>
      </c>
      <c r="L15" s="35">
        <v>1089498</v>
      </c>
      <c r="M15" s="37">
        <f>VLOOKUP(B15,[2]Page001!$B$1:$C$67,2,FALSE)</f>
        <v>26000</v>
      </c>
      <c r="N15" s="38" t="s">
        <v>96</v>
      </c>
      <c r="O15" s="37">
        <v>35000</v>
      </c>
    </row>
    <row r="16" spans="1:15">
      <c r="A16" s="29" t="s">
        <v>3</v>
      </c>
      <c r="B16" s="30" t="s">
        <v>42</v>
      </c>
      <c r="C16" s="7" cm="1">
        <f t="array" ref="C16:L16">VLOOKUP(A16,'[1]Price List'!$B$1:$L$35,{2,3,4,5,6,7,8,9,10,11},FALSE)</f>
        <v>951600</v>
      </c>
      <c r="D16" s="8">
        <v>0</v>
      </c>
      <c r="E16" s="8">
        <v>51826</v>
      </c>
      <c r="F16" s="8">
        <v>51036</v>
      </c>
      <c r="G16" s="8">
        <v>1519</v>
      </c>
      <c r="H16" s="8">
        <v>23790</v>
      </c>
      <c r="I16" s="8">
        <v>3500</v>
      </c>
      <c r="J16" s="8">
        <v>12000</v>
      </c>
      <c r="K16" s="8">
        <v>1095272</v>
      </c>
      <c r="L16" s="35">
        <v>1071482</v>
      </c>
      <c r="M16" s="37">
        <f>VLOOKUP(B16,[2]Page001!$B$1:$C$67,2,FALSE)</f>
        <v>32000</v>
      </c>
      <c r="N16" s="38" t="s">
        <v>91</v>
      </c>
      <c r="O16" s="37">
        <v>35000</v>
      </c>
    </row>
    <row r="17" spans="1:15">
      <c r="A17" s="29" t="s">
        <v>6</v>
      </c>
      <c r="B17" s="30" t="s">
        <v>44</v>
      </c>
      <c r="C17" s="7" cm="1">
        <f t="array" ref="C17:L17">VLOOKUP(A17,'[1]Price List'!$B$1:$L$35,{2,3,4,5,6,7,8,9,10,11},FALSE)</f>
        <v>949800</v>
      </c>
      <c r="D17" s="8">
        <v>0</v>
      </c>
      <c r="E17" s="8">
        <v>51795</v>
      </c>
      <c r="F17" s="8">
        <v>50945</v>
      </c>
      <c r="G17" s="8">
        <v>1519</v>
      </c>
      <c r="H17" s="8">
        <v>23745</v>
      </c>
      <c r="I17" s="8">
        <v>3500</v>
      </c>
      <c r="J17" s="8">
        <v>12000</v>
      </c>
      <c r="K17" s="8">
        <v>1093304</v>
      </c>
      <c r="L17" s="35">
        <v>1069559</v>
      </c>
      <c r="M17" s="37">
        <f>VLOOKUP(B17,[2]Page001!$B$1:$C$67,2,FALSE)</f>
        <v>26000</v>
      </c>
      <c r="N17" s="38" t="s">
        <v>96</v>
      </c>
      <c r="O17" s="37">
        <v>35000</v>
      </c>
    </row>
    <row r="18" spans="1:15">
      <c r="A18" s="29" t="s">
        <v>8</v>
      </c>
      <c r="B18" s="30" t="s">
        <v>45</v>
      </c>
      <c r="C18" s="7" cm="1">
        <f t="array" ref="C18:L18">VLOOKUP(A18,'[1]Price List'!$B$1:$L$35,{2,3,4,5,6,7,8,9,10,11},FALSE)</f>
        <v>977300</v>
      </c>
      <c r="D18" s="8">
        <v>0</v>
      </c>
      <c r="E18" s="8">
        <v>52694</v>
      </c>
      <c r="F18" s="8">
        <v>52343</v>
      </c>
      <c r="G18" s="8">
        <v>1519</v>
      </c>
      <c r="H18" s="8">
        <v>24433</v>
      </c>
      <c r="I18" s="8">
        <v>3500</v>
      </c>
      <c r="J18" s="8">
        <v>12000</v>
      </c>
      <c r="K18" s="8">
        <v>1123789</v>
      </c>
      <c r="L18" s="35">
        <v>1099356</v>
      </c>
      <c r="M18" s="37">
        <f>VLOOKUP(B18,[2]Page001!$B$1:$C$67,2,FALSE)</f>
        <v>32000</v>
      </c>
      <c r="N18" s="38" t="s">
        <v>91</v>
      </c>
      <c r="O18" s="37">
        <v>35000</v>
      </c>
    </row>
    <row r="19" spans="1:15">
      <c r="A19" s="29" t="s">
        <v>9</v>
      </c>
      <c r="B19" s="30" t="s">
        <v>46</v>
      </c>
      <c r="C19" s="7" cm="1">
        <f t="array" ref="C19:L19">VLOOKUP(A19,'[1]Price List'!$B$1:$L$35,{2,3,4,5,6,7,8,9,10,11},FALSE)</f>
        <v>977300</v>
      </c>
      <c r="D19" s="8">
        <v>0</v>
      </c>
      <c r="E19" s="8">
        <v>52694</v>
      </c>
      <c r="F19" s="8">
        <v>52343</v>
      </c>
      <c r="G19" s="8">
        <v>1519</v>
      </c>
      <c r="H19" s="8">
        <v>24433</v>
      </c>
      <c r="I19" s="8">
        <v>3500</v>
      </c>
      <c r="J19" s="8">
        <v>12000</v>
      </c>
      <c r="K19" s="8">
        <v>1123789</v>
      </c>
      <c r="L19" s="35">
        <v>1099356</v>
      </c>
      <c r="M19" s="37">
        <f>VLOOKUP(B19,[2]Page001!$B$1:$C$67,2,FALSE)</f>
        <v>25000</v>
      </c>
      <c r="N19" s="38" t="s">
        <v>96</v>
      </c>
      <c r="O19" s="37">
        <v>35000</v>
      </c>
    </row>
    <row r="20" spans="1:15">
      <c r="A20" s="29" t="s">
        <v>7</v>
      </c>
      <c r="B20" s="30" t="s">
        <v>47</v>
      </c>
      <c r="C20" s="7" cm="1">
        <f t="array" ref="C20:L20">VLOOKUP(A20,'[1]Price List'!$B$1:$L$35,{2,3,4,5,6,7,8,9,10,11},FALSE)</f>
        <v>962700</v>
      </c>
      <c r="D20" s="8">
        <v>0</v>
      </c>
      <c r="E20" s="8">
        <v>52160</v>
      </c>
      <c r="F20" s="8">
        <v>51601</v>
      </c>
      <c r="G20" s="8">
        <v>1519</v>
      </c>
      <c r="H20" s="8">
        <v>24068</v>
      </c>
      <c r="I20" s="8">
        <v>3500</v>
      </c>
      <c r="J20" s="8">
        <v>12000</v>
      </c>
      <c r="K20" s="8">
        <v>1107548</v>
      </c>
      <c r="L20" s="35">
        <v>1083480</v>
      </c>
      <c r="M20" s="37">
        <f>VLOOKUP(B20,[2]Page001!$B$1:$C$67,2,FALSE)</f>
        <v>32000</v>
      </c>
      <c r="N20" s="38" t="s">
        <v>91</v>
      </c>
      <c r="O20" s="37">
        <v>35000</v>
      </c>
    </row>
    <row r="21" spans="1:15">
      <c r="A21" s="29" t="s">
        <v>74</v>
      </c>
      <c r="B21" s="30" t="s">
        <v>74</v>
      </c>
      <c r="C21" s="7" cm="1">
        <f t="array" ref="C21:L21">VLOOKUP(A21,'[1]Price List'!$B$1:$L$35,{2,3,4,5,6,7,8,9,10,11},FALSE)</f>
        <v>1026900</v>
      </c>
      <c r="D21" s="8">
        <v>10269</v>
      </c>
      <c r="E21" s="8">
        <v>54318</v>
      </c>
      <c r="F21" s="8">
        <v>54865</v>
      </c>
      <c r="G21" s="8">
        <v>1519</v>
      </c>
      <c r="H21" s="8">
        <v>25673</v>
      </c>
      <c r="I21" s="8">
        <v>3500</v>
      </c>
      <c r="J21" s="8">
        <v>12000</v>
      </c>
      <c r="K21" s="8">
        <v>1189043</v>
      </c>
      <c r="L21" s="35">
        <v>1163371</v>
      </c>
      <c r="M21" s="37">
        <f>VLOOKUP(B21,[2]Page001!$B$1:$C$67,2,FALSE)</f>
        <v>65000</v>
      </c>
      <c r="N21" s="38" t="s">
        <v>97</v>
      </c>
      <c r="O21" s="37">
        <v>35000</v>
      </c>
    </row>
    <row r="22" spans="1:15">
      <c r="A22" s="29" t="s">
        <v>11</v>
      </c>
      <c r="B22" s="30" t="s">
        <v>48</v>
      </c>
      <c r="C22" s="7" cm="1">
        <f t="array" ref="C22:L22">VLOOKUP(A22,'[1]Price List'!$B$1:$L$35,{2,3,4,5,6,7,8,9,10,11},FALSE)</f>
        <v>1015000</v>
      </c>
      <c r="D22" s="8">
        <v>10150</v>
      </c>
      <c r="E22" s="8">
        <v>53735</v>
      </c>
      <c r="F22" s="8">
        <v>54260</v>
      </c>
      <c r="G22" s="8">
        <v>1519</v>
      </c>
      <c r="H22" s="8">
        <v>35525</v>
      </c>
      <c r="I22" s="8">
        <v>3500</v>
      </c>
      <c r="J22" s="8">
        <v>12000</v>
      </c>
      <c r="K22" s="8">
        <v>1185689</v>
      </c>
      <c r="L22" s="35">
        <v>1150164</v>
      </c>
      <c r="M22" s="37">
        <f>VLOOKUP(B22,[2]Page001!$B$1:$C$67,2,FALSE)</f>
        <v>24500</v>
      </c>
      <c r="N22" s="38" t="s">
        <v>92</v>
      </c>
      <c r="O22" s="37">
        <v>35000</v>
      </c>
    </row>
    <row r="23" spans="1:15">
      <c r="A23" s="29" t="s">
        <v>10</v>
      </c>
      <c r="B23" s="30" t="s">
        <v>49</v>
      </c>
      <c r="C23" s="7" cm="1">
        <f t="array" ref="C23:L23">VLOOKUP(A23,'[1]Price List'!$B$1:$L$35,{2,3,4,5,6,7,8,9,10,11},FALSE)</f>
        <v>981800</v>
      </c>
      <c r="D23" s="8">
        <v>0</v>
      </c>
      <c r="E23" s="8">
        <v>52735</v>
      </c>
      <c r="F23" s="8">
        <v>53172</v>
      </c>
      <c r="G23" s="8">
        <v>1519</v>
      </c>
      <c r="H23" s="8">
        <v>24545</v>
      </c>
      <c r="I23" s="8">
        <v>3500</v>
      </c>
      <c r="J23" s="8">
        <v>12000</v>
      </c>
      <c r="K23" s="8">
        <v>1129271</v>
      </c>
      <c r="L23" s="35">
        <v>1104726</v>
      </c>
      <c r="M23" s="37">
        <f>VLOOKUP(B23,[2]Page001!$B$1:$C$67,2,FALSE)</f>
        <v>24500</v>
      </c>
      <c r="N23" s="38" t="s">
        <v>92</v>
      </c>
      <c r="O23" s="37">
        <v>35000</v>
      </c>
    </row>
    <row r="24" spans="1:15">
      <c r="A24" s="29" t="s">
        <v>13</v>
      </c>
      <c r="B24" s="30" t="s">
        <v>50</v>
      </c>
      <c r="C24" s="7" cm="1">
        <f t="array" ref="C24:L24">VLOOKUP(A24,'[1]Price List'!$B$1:$L$35,{2,3,4,5,6,7,8,9,10,11},FALSE)</f>
        <v>1038800</v>
      </c>
      <c r="D24" s="8">
        <v>10388</v>
      </c>
      <c r="E24" s="8">
        <v>54451</v>
      </c>
      <c r="F24" s="8">
        <v>55470</v>
      </c>
      <c r="G24" s="8">
        <v>1519</v>
      </c>
      <c r="H24" s="8">
        <v>36358</v>
      </c>
      <c r="I24" s="8">
        <v>3500</v>
      </c>
      <c r="J24" s="8">
        <v>12000</v>
      </c>
      <c r="K24" s="8">
        <v>1212486</v>
      </c>
      <c r="L24" s="35">
        <v>1176128</v>
      </c>
      <c r="M24" s="37">
        <f>VLOOKUP(B24,[2]Page001!$B$1:$C$67,2,FALSE)</f>
        <v>23000</v>
      </c>
      <c r="N24" s="38" t="s">
        <v>92</v>
      </c>
      <c r="O24" s="37">
        <v>35000</v>
      </c>
    </row>
    <row r="25" spans="1:15">
      <c r="A25" s="29" t="s">
        <v>75</v>
      </c>
      <c r="B25" s="30" t="s">
        <v>76</v>
      </c>
      <c r="C25" s="7" cm="1">
        <f t="array" ref="C25:L25">VLOOKUP(A25,'[1]Price List'!$B$1:$L$35,{2,3,4,5,6,7,8,9,10,11},FALSE)</f>
        <v>1024100</v>
      </c>
      <c r="D25" s="8">
        <v>10241</v>
      </c>
      <c r="E25" s="8">
        <v>54223</v>
      </c>
      <c r="F25" s="8">
        <v>54723</v>
      </c>
      <c r="G25" s="8">
        <v>1519</v>
      </c>
      <c r="H25" s="8">
        <v>35844</v>
      </c>
      <c r="I25" s="8">
        <v>3500</v>
      </c>
      <c r="J25" s="8">
        <v>12000</v>
      </c>
      <c r="K25" s="8">
        <v>1196150</v>
      </c>
      <c r="L25" s="35">
        <v>1160306</v>
      </c>
      <c r="M25" s="37">
        <f>VLOOKUP(B25,[2]Page001!$B$1:$C$67,2,FALSE)</f>
        <v>24500</v>
      </c>
      <c r="N25" s="38" t="s">
        <v>92</v>
      </c>
      <c r="O25" s="37">
        <v>35000</v>
      </c>
    </row>
    <row r="26" spans="1:15">
      <c r="A26" s="29" t="s">
        <v>77</v>
      </c>
      <c r="B26" s="30" t="s">
        <v>78</v>
      </c>
      <c r="C26" s="7" cm="1">
        <f t="array" ref="C26:L26">VLOOKUP(A26,'[1]Price List'!$B$1:$L$35,{2,3,4,5,6,7,8,9,10,11},FALSE)</f>
        <v>991000</v>
      </c>
      <c r="D26" s="8">
        <v>0</v>
      </c>
      <c r="E26" s="8">
        <v>53142</v>
      </c>
      <c r="F26" s="8">
        <v>53640</v>
      </c>
      <c r="G26" s="8">
        <v>1519</v>
      </c>
      <c r="H26" s="8">
        <v>24775</v>
      </c>
      <c r="I26" s="8">
        <v>3500</v>
      </c>
      <c r="J26" s="8">
        <v>12000</v>
      </c>
      <c r="K26" s="8">
        <v>1139576</v>
      </c>
      <c r="L26" s="35">
        <v>1114801</v>
      </c>
      <c r="M26" s="37">
        <f>VLOOKUP(B26,[2]Page001!$B$1:$C$67,2,FALSE)</f>
        <v>24500</v>
      </c>
      <c r="N26" s="38" t="s">
        <v>92</v>
      </c>
      <c r="O26" s="37">
        <v>35000</v>
      </c>
    </row>
    <row r="27" spans="1:15">
      <c r="A27" s="29" t="s">
        <v>14</v>
      </c>
      <c r="B27" s="30" t="s">
        <v>52</v>
      </c>
      <c r="C27" s="7" cm="1">
        <f t="array" ref="C27:L27">VLOOKUP(A27,'[1]Price List'!$B$1:$L$35,{2,3,4,5,6,7,8,9,10,11},FALSE)</f>
        <v>1051700</v>
      </c>
      <c r="D27" s="8">
        <v>10517</v>
      </c>
      <c r="E27" s="8">
        <v>55125</v>
      </c>
      <c r="F27" s="8">
        <v>56126</v>
      </c>
      <c r="G27" s="8">
        <v>1519</v>
      </c>
      <c r="H27" s="8">
        <v>36810</v>
      </c>
      <c r="I27" s="8">
        <v>3500</v>
      </c>
      <c r="J27" s="8">
        <v>12000</v>
      </c>
      <c r="K27" s="8">
        <v>1227297</v>
      </c>
      <c r="L27" s="35">
        <v>1190487</v>
      </c>
      <c r="M27" s="37">
        <f>VLOOKUP(B27,[2]Page001!$B$1:$C$67,2,FALSE)</f>
        <v>23000</v>
      </c>
      <c r="N27" s="38" t="s">
        <v>92</v>
      </c>
      <c r="O27" s="37">
        <v>35000</v>
      </c>
    </row>
    <row r="28" spans="1:15">
      <c r="A28" s="29" t="s">
        <v>12</v>
      </c>
      <c r="B28" s="30" t="s">
        <v>51</v>
      </c>
      <c r="C28" s="7" cm="1">
        <f t="array" ref="C28:L28">VLOOKUP(A28,'[1]Price List'!$B$1:$L$35,{2,3,4,5,6,7,8,9,10,11},FALSE)</f>
        <v>1034200</v>
      </c>
      <c r="D28" s="8">
        <v>10342</v>
      </c>
      <c r="E28" s="8">
        <v>54312</v>
      </c>
      <c r="F28" s="8">
        <v>55236</v>
      </c>
      <c r="G28" s="8">
        <v>1519</v>
      </c>
      <c r="H28" s="8">
        <v>36197</v>
      </c>
      <c r="I28" s="8">
        <v>3500</v>
      </c>
      <c r="J28" s="8">
        <v>12000</v>
      </c>
      <c r="K28" s="8">
        <v>1207307</v>
      </c>
      <c r="L28" s="35">
        <v>1171110</v>
      </c>
      <c r="M28" s="37">
        <f>VLOOKUP(B28,[2]Page001!$B$1:$C$67,2,FALSE)</f>
        <v>23000</v>
      </c>
      <c r="N28" s="38" t="s">
        <v>92</v>
      </c>
      <c r="O28" s="37">
        <v>35000</v>
      </c>
    </row>
    <row r="29" spans="1:15">
      <c r="A29" s="29" t="s">
        <v>70</v>
      </c>
      <c r="B29" s="30" t="s">
        <v>71</v>
      </c>
      <c r="C29" s="7" cm="1">
        <f t="array" ref="C29:L29">VLOOKUP(A29,'[1]Price List'!$B$1:$L$35,{2,3,4,5,6,7,8,9,10,11},FALSE)</f>
        <v>958101</v>
      </c>
      <c r="D29" s="8">
        <v>0</v>
      </c>
      <c r="E29" s="8">
        <v>52372</v>
      </c>
      <c r="F29" s="8">
        <v>51017</v>
      </c>
      <c r="G29" s="8">
        <v>1519</v>
      </c>
      <c r="H29" s="8">
        <v>14372</v>
      </c>
      <c r="I29" s="8">
        <v>3500</v>
      </c>
      <c r="J29" s="8">
        <v>12000</v>
      </c>
      <c r="K29" s="8">
        <v>1092881</v>
      </c>
      <c r="L29" s="35">
        <v>1078509</v>
      </c>
      <c r="M29" s="37">
        <f>VLOOKUP(B29,[2]Page001!$B$1:$C$67,2,FALSE)</f>
        <v>65000</v>
      </c>
      <c r="N29" s="38" t="s">
        <v>97</v>
      </c>
      <c r="O29" s="37">
        <v>35000</v>
      </c>
    </row>
    <row r="30" spans="1:15">
      <c r="A30" s="29" t="s">
        <v>27</v>
      </c>
      <c r="B30" s="30" t="s">
        <v>27</v>
      </c>
      <c r="C30" s="7" cm="1">
        <f t="array" ref="C30:L30">VLOOKUP(A30,'[1]Price List'!$B$1:$L$35,{2,3,4,5,6,7,8,9,10,11},FALSE)</f>
        <v>885500</v>
      </c>
      <c r="D30" s="8">
        <v>0</v>
      </c>
      <c r="E30" s="8">
        <v>49695</v>
      </c>
      <c r="F30" s="8">
        <v>47325</v>
      </c>
      <c r="G30" s="8">
        <v>1519</v>
      </c>
      <c r="H30" s="8">
        <v>22138</v>
      </c>
      <c r="I30" s="8">
        <v>3500</v>
      </c>
      <c r="J30" s="8">
        <v>16000</v>
      </c>
      <c r="K30" s="8">
        <v>1025677</v>
      </c>
      <c r="L30" s="35">
        <v>1003539</v>
      </c>
      <c r="M30" s="37">
        <f>VLOOKUP(B30,[2]Page001!$B$1:$C$67,2,FALSE)</f>
        <v>13500</v>
      </c>
      <c r="N30" s="38" t="s">
        <v>98</v>
      </c>
      <c r="O30" s="37">
        <v>35000</v>
      </c>
    </row>
    <row r="31" spans="1:15">
      <c r="A31" s="29" t="s">
        <v>26</v>
      </c>
      <c r="B31" s="30" t="s">
        <v>26</v>
      </c>
      <c r="C31" s="7" cm="1">
        <f t="array" ref="C31:L31">VLOOKUP(A31,'[1]Price List'!$B$1:$L$35,{2,3,4,5,6,7,8,9,10,11},FALSE)</f>
        <v>970000</v>
      </c>
      <c r="D31" s="8">
        <v>0</v>
      </c>
      <c r="E31" s="8">
        <v>53339</v>
      </c>
      <c r="F31" s="8">
        <v>51622</v>
      </c>
      <c r="G31" s="8">
        <v>1519</v>
      </c>
      <c r="H31" s="8">
        <v>24250</v>
      </c>
      <c r="I31" s="8">
        <v>3500</v>
      </c>
      <c r="J31" s="8">
        <v>16000</v>
      </c>
      <c r="K31" s="8">
        <v>1120230</v>
      </c>
      <c r="L31" s="35">
        <v>1095980</v>
      </c>
      <c r="M31" s="37">
        <f>VLOOKUP(B31,[2]Page001!$B$1:$C$67,2,FALSE)</f>
        <v>13500</v>
      </c>
      <c r="N31" s="38" t="s">
        <v>98</v>
      </c>
      <c r="O31" s="37">
        <v>35000</v>
      </c>
    </row>
    <row r="32" spans="1:15">
      <c r="A32" s="29" t="s">
        <v>28</v>
      </c>
      <c r="B32" s="30" t="s">
        <v>28</v>
      </c>
      <c r="C32" s="7" cm="1">
        <f t="array" ref="C32:L32">VLOOKUP(A32,'[1]Price List'!$B$1:$L$35,{2,3,4,5,6,7,8,9,10,11},FALSE)</f>
        <v>997700</v>
      </c>
      <c r="D32" s="8">
        <v>0</v>
      </c>
      <c r="E32" s="8">
        <v>53362</v>
      </c>
      <c r="F32" s="8">
        <v>53031</v>
      </c>
      <c r="G32" s="8">
        <v>1519</v>
      </c>
      <c r="H32" s="8">
        <v>24943</v>
      </c>
      <c r="I32" s="8">
        <v>3500</v>
      </c>
      <c r="J32" s="8">
        <v>16000</v>
      </c>
      <c r="K32" s="8">
        <v>1150054</v>
      </c>
      <c r="L32" s="35">
        <v>1125111</v>
      </c>
      <c r="M32" s="37">
        <f>VLOOKUP(B32,[2]Page001!$B$1:$C$67,2,FALSE)</f>
        <v>13500</v>
      </c>
      <c r="N32" s="38" t="s">
        <v>98</v>
      </c>
      <c r="O32" s="37">
        <v>35000</v>
      </c>
    </row>
    <row r="33" spans="1:15">
      <c r="A33" s="29" t="s">
        <v>62</v>
      </c>
      <c r="B33" s="30" t="s">
        <v>62</v>
      </c>
      <c r="C33" s="7" cm="1">
        <f t="array" ref="C33:L33">VLOOKUP(A33,'[1]Price List'!$B$1:$L$35,{2,3,4,5,6,7,8,9,10,11},FALSE)</f>
        <v>922200</v>
      </c>
      <c r="D33" s="8">
        <v>0</v>
      </c>
      <c r="E33" s="8">
        <v>50896</v>
      </c>
      <c r="F33" s="8">
        <v>49192</v>
      </c>
      <c r="G33" s="8">
        <v>1519</v>
      </c>
      <c r="H33" s="8">
        <v>23055</v>
      </c>
      <c r="I33" s="8">
        <v>3500</v>
      </c>
      <c r="J33" s="8">
        <v>14000</v>
      </c>
      <c r="K33" s="8">
        <v>1064361</v>
      </c>
      <c r="L33" s="35">
        <v>1041306</v>
      </c>
      <c r="M33" s="37">
        <f>VLOOKUP(B33,[2]Page001!$B$1:$C$67,2,FALSE)</f>
        <v>13500</v>
      </c>
      <c r="N33" s="38" t="s">
        <v>98</v>
      </c>
      <c r="O33" s="37">
        <v>35000</v>
      </c>
    </row>
    <row r="34" spans="1:15">
      <c r="A34" s="29" t="s">
        <v>29</v>
      </c>
      <c r="B34" s="30" t="s">
        <v>29</v>
      </c>
      <c r="C34" s="7" cm="1">
        <f t="array" ref="C34:L34">VLOOKUP(A34,'[1]Price List'!$B$1:$L$35,{2,3,4,5,6,7,8,9,10,11},FALSE)</f>
        <v>999900</v>
      </c>
      <c r="D34" s="8">
        <v>0</v>
      </c>
      <c r="E34" s="8">
        <v>53432</v>
      </c>
      <c r="F34" s="8">
        <v>53142</v>
      </c>
      <c r="G34" s="8">
        <v>1519</v>
      </c>
      <c r="H34" s="8">
        <v>24998</v>
      </c>
      <c r="I34" s="8">
        <v>3500</v>
      </c>
      <c r="J34" s="8">
        <v>14000</v>
      </c>
      <c r="K34" s="8">
        <v>1150491</v>
      </c>
      <c r="L34" s="35">
        <v>1125493</v>
      </c>
      <c r="M34" s="37">
        <f>VLOOKUP(B34,[2]Page001!$B$1:$C$67,2,FALSE)</f>
        <v>13500</v>
      </c>
      <c r="N34" s="38" t="s">
        <v>98</v>
      </c>
      <c r="O34" s="37">
        <v>35000</v>
      </c>
    </row>
    <row r="35" spans="1:15">
      <c r="A35" s="29" t="s">
        <v>24</v>
      </c>
      <c r="B35" s="30" t="s">
        <v>24</v>
      </c>
      <c r="C35" s="7" cm="1">
        <f t="array" ref="C35:L35">VLOOKUP(A35,'[1]Price List'!$B$1:$L$35,{2,3,4,5,6,7,8,9,10,11},FALSE)</f>
        <v>962800</v>
      </c>
      <c r="D35" s="8">
        <v>0</v>
      </c>
      <c r="E35" s="8">
        <v>52222</v>
      </c>
      <c r="F35" s="8">
        <v>51256</v>
      </c>
      <c r="G35" s="8">
        <v>1519</v>
      </c>
      <c r="H35" s="8">
        <v>24070</v>
      </c>
      <c r="I35" s="8">
        <v>3500</v>
      </c>
      <c r="J35" s="8">
        <v>12000</v>
      </c>
      <c r="K35" s="8">
        <v>1107367</v>
      </c>
      <c r="L35" s="35">
        <v>1083297</v>
      </c>
      <c r="M35" s="37">
        <f>VLOOKUP(B35,[2]Page001!$B$1:$C$67,2,FALSE)</f>
        <v>20000</v>
      </c>
      <c r="N35" s="38" t="s">
        <v>93</v>
      </c>
      <c r="O35" s="37">
        <v>35000</v>
      </c>
    </row>
    <row r="36" spans="1:15">
      <c r="A36" s="29" t="s">
        <v>25</v>
      </c>
      <c r="B36" s="30" t="s">
        <v>25</v>
      </c>
      <c r="C36" s="7" cm="1">
        <f t="array" ref="C36:L36">VLOOKUP(A36,'[1]Price List'!$B$1:$L$35,{2,3,4,5,6,7,8,9,10,11},FALSE)</f>
        <v>985700</v>
      </c>
      <c r="D36" s="8">
        <v>0</v>
      </c>
      <c r="E36" s="8">
        <v>52969</v>
      </c>
      <c r="F36" s="8">
        <v>52420</v>
      </c>
      <c r="G36" s="8">
        <v>1519</v>
      </c>
      <c r="H36" s="8">
        <v>24643</v>
      </c>
      <c r="I36" s="8">
        <v>3500</v>
      </c>
      <c r="J36" s="8">
        <v>12000</v>
      </c>
      <c r="K36" s="8">
        <v>1132751</v>
      </c>
      <c r="L36" s="35">
        <v>1108108</v>
      </c>
      <c r="M36" s="37">
        <f>VLOOKUP(B36,[2]Page001!$B$1:$C$67,2,FALSE)</f>
        <v>20000</v>
      </c>
      <c r="N36" s="38" t="s">
        <v>93</v>
      </c>
      <c r="O36" s="37">
        <v>35000</v>
      </c>
    </row>
  </sheetData>
  <autoFilter ref="A2:O36" xr:uid="{8B23E6FD-7762-4C22-90E4-A9620B029028}"/>
  <mergeCells count="3">
    <mergeCell ref="C1:L1"/>
    <mergeCell ref="A1:B1"/>
    <mergeCell ref="M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D76A-B490-420B-BAEB-D8ED77990FC7}">
  <sheetPr codeName="Sheet3"/>
  <dimension ref="A1:C44"/>
  <sheetViews>
    <sheetView workbookViewId="0"/>
  </sheetViews>
  <sheetFormatPr defaultRowHeight="15"/>
  <cols>
    <col min="1" max="1" width="44.85546875" bestFit="1" customWidth="1"/>
    <col min="2" max="2" width="20" customWidth="1"/>
    <col min="3" max="3" width="22" customWidth="1"/>
    <col min="5" max="5" width="12.7109375" customWidth="1"/>
  </cols>
  <sheetData>
    <row r="1" spans="1:3">
      <c r="A1" s="4" t="s">
        <v>54</v>
      </c>
      <c r="C1" s="1" t="s">
        <v>0</v>
      </c>
    </row>
    <row r="2" spans="1:3">
      <c r="A2" s="2" t="s">
        <v>30</v>
      </c>
      <c r="C2" t="str" cm="1">
        <f t="array" ref="C2">TRANSPOSE(_xlfn._xlws.SORT(_xlfn._xlws.FILTER(Vehicle_Model[Variant],ISNUMBER(SEARCH(Report!D3,Vehicle_Model[Variant])),"Not Found")))</f>
        <v>MAXX CITY 1.3 LX BS6.2</v>
      </c>
    </row>
    <row r="3" spans="1:3">
      <c r="A3" s="2" t="s">
        <v>31</v>
      </c>
    </row>
    <row r="4" spans="1:3">
      <c r="A4" s="2" t="s">
        <v>32</v>
      </c>
    </row>
    <row r="5" spans="1:3">
      <c r="A5" s="2" t="s">
        <v>33</v>
      </c>
    </row>
    <row r="6" spans="1:3">
      <c r="A6" s="2" t="s">
        <v>35</v>
      </c>
    </row>
    <row r="7" spans="1:3">
      <c r="A7" s="2" t="s">
        <v>34</v>
      </c>
    </row>
    <row r="8" spans="1:3">
      <c r="A8" s="2" t="s">
        <v>36</v>
      </c>
    </row>
    <row r="9" spans="1:3">
      <c r="A9" s="2" t="s">
        <v>37</v>
      </c>
    </row>
    <row r="10" spans="1:3">
      <c r="A10" s="2" t="s">
        <v>38</v>
      </c>
    </row>
    <row r="11" spans="1:3">
      <c r="A11" s="2" t="s">
        <v>39</v>
      </c>
    </row>
    <row r="12" spans="1:3">
      <c r="A12" s="2" t="s">
        <v>40</v>
      </c>
    </row>
    <row r="13" spans="1:3">
      <c r="A13" s="2" t="s">
        <v>41</v>
      </c>
    </row>
    <row r="14" spans="1:3">
      <c r="A14" s="2" t="s">
        <v>43</v>
      </c>
    </row>
    <row r="15" spans="1:3">
      <c r="A15" s="2" t="s">
        <v>42</v>
      </c>
    </row>
    <row r="16" spans="1:3">
      <c r="A16" s="2" t="s">
        <v>44</v>
      </c>
    </row>
    <row r="17" spans="1:1">
      <c r="A17" s="2" t="s">
        <v>45</v>
      </c>
    </row>
    <row r="18" spans="1:1">
      <c r="A18" s="2" t="s">
        <v>46</v>
      </c>
    </row>
    <row r="19" spans="1:1">
      <c r="A19" s="2" t="s">
        <v>47</v>
      </c>
    </row>
    <row r="20" spans="1:1">
      <c r="A20" s="2" t="s">
        <v>74</v>
      </c>
    </row>
    <row r="21" spans="1:1">
      <c r="A21" s="2" t="s">
        <v>48</v>
      </c>
    </row>
    <row r="22" spans="1:1">
      <c r="A22" s="2" t="s">
        <v>49</v>
      </c>
    </row>
    <row r="23" spans="1:1">
      <c r="A23" s="2" t="s">
        <v>50</v>
      </c>
    </row>
    <row r="24" spans="1:1">
      <c r="A24" s="2" t="s">
        <v>76</v>
      </c>
    </row>
    <row r="25" spans="1:1">
      <c r="A25" s="2" t="s">
        <v>78</v>
      </c>
    </row>
    <row r="26" spans="1:1">
      <c r="A26" s="2" t="s">
        <v>52</v>
      </c>
    </row>
    <row r="27" spans="1:1">
      <c r="A27" s="2" t="s">
        <v>51</v>
      </c>
    </row>
    <row r="28" spans="1:1">
      <c r="A28" s="2" t="s">
        <v>71</v>
      </c>
    </row>
    <row r="29" spans="1:1">
      <c r="A29" s="2" t="s">
        <v>27</v>
      </c>
    </row>
    <row r="30" spans="1:1">
      <c r="A30" s="2" t="s">
        <v>26</v>
      </c>
    </row>
    <row r="31" spans="1:1">
      <c r="A31" s="2" t="s">
        <v>28</v>
      </c>
    </row>
    <row r="32" spans="1:1">
      <c r="A32" s="2" t="s">
        <v>62</v>
      </c>
    </row>
    <row r="33" spans="1:1">
      <c r="A33" s="2" t="s">
        <v>29</v>
      </c>
    </row>
    <row r="34" spans="1:1">
      <c r="A34" s="2" t="s">
        <v>24</v>
      </c>
    </row>
    <row r="35" spans="1:1">
      <c r="A35" s="2" t="s">
        <v>25</v>
      </c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0EDED336F4AC345937821C4378B0575" ma:contentTypeVersion="13" ma:contentTypeDescription="Ein neues Dokument erstellen." ma:contentTypeScope="" ma:versionID="494f29b6abfd1a658fb4a91257319fb7">
  <xsd:schema xmlns:xsd="http://www.w3.org/2001/XMLSchema" xmlns:xs="http://www.w3.org/2001/XMLSchema" xmlns:p="http://schemas.microsoft.com/office/2006/metadata/properties" xmlns:ns3="cc81ea25-3c65-47fe-b799-37236d34457b" xmlns:ns4="3aa501bf-b653-40a4-9ae9-61a4d1229c70" targetNamespace="http://schemas.microsoft.com/office/2006/metadata/properties" ma:root="true" ma:fieldsID="79a9a6d6e67940bfc0c15f927b8771f4" ns3:_="" ns4:_="">
    <xsd:import namespace="cc81ea25-3c65-47fe-b799-37236d34457b"/>
    <xsd:import namespace="3aa501bf-b653-40a4-9ae9-61a4d1229c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81ea25-3c65-47fe-b799-37236d3445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a501bf-b653-40a4-9ae9-61a4d1229c70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0AA7BD-7B6E-43C6-AED0-1E579093AA9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6B08E05-D3E6-4391-8AA6-C9B1EA9A23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81ea25-3c65-47fe-b799-37236d34457b"/>
    <ds:schemaRef ds:uri="3aa501bf-b653-40a4-9ae9-61a4d1229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2C800-B5CF-4467-9EC7-2088426858B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Sheet1</vt:lpstr>
      <vt:lpstr>MasterData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Nishal Modi</dc:creator>
  <cp:keywords/>
  <dc:description/>
  <cp:lastModifiedBy>Administrator</cp:lastModifiedBy>
  <cp:revision/>
  <dcterms:created xsi:type="dcterms:W3CDTF">2018-12-17T09:59:10Z</dcterms:created>
  <dcterms:modified xsi:type="dcterms:W3CDTF">2025-11-06T06:37:55Z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0x01010060EDED336F4AC345937821C4378B0575</vt:lpwstr>
  </property>
</Properties>
</file>