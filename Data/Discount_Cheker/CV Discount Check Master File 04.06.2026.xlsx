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uditor RSM Data\To be Consider\2026-27\3. June-2026\"/>
    </mc:Choice>
  </mc:AlternateContent>
  <xr:revisionPtr revIDLastSave="0" documentId="13_ncr:1_{93A7FD39-5412-4EB4-BE19-59401F58FB74}" xr6:coauthVersionLast="47" xr6:coauthVersionMax="47" xr10:uidLastSave="{00000000-0000-0000-0000-000000000000}"/>
  <bookViews>
    <workbookView xWindow="-120" yWindow="-120" windowWidth="24240" windowHeight="13020" xr2:uid="{9C2300AC-C402-454B-B7CF-00A24C218261}"/>
  </bookViews>
  <sheets>
    <sheet name="Report" sheetId="1" r:id="rId1"/>
    <sheet name="Sheet1" sheetId="4" r:id="rId2"/>
    <sheet name="MasterData" sheetId="2" r:id="rId3"/>
  </sheets>
  <definedNames>
    <definedName name="_xlnm._FilterDatabase" localSheetId="1" hidden="1">Sheet1!$A$2:$P$38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5" i="1"/>
  <c r="D16" i="1"/>
  <c r="D17" i="1"/>
  <c r="D18" i="1"/>
  <c r="D19" i="1"/>
  <c r="D20" i="1"/>
  <c r="D21" i="1"/>
  <c r="D22" i="1"/>
  <c r="K31" i="4" l="1"/>
  <c r="L31" i="4" s="1"/>
  <c r="K30" i="4"/>
  <c r="L30" i="4" s="1"/>
  <c r="K28" i="4"/>
  <c r="L28" i="4" s="1"/>
  <c r="K29" i="4"/>
  <c r="L29" i="4" s="1"/>
  <c r="K38" i="4" l="1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  <c r="K5" i="4"/>
  <c r="L5" i="4" s="1"/>
  <c r="K4" i="4"/>
  <c r="L4" i="4" s="1"/>
  <c r="K3" i="4"/>
  <c r="L3" i="4" s="1"/>
  <c r="L32" i="4" l="1"/>
  <c r="D14" i="1" s="1"/>
  <c r="D13" i="1"/>
  <c r="C2" i="2" a="1"/>
  <c r="C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<sst xmlns="http://schemas.openxmlformats.org/spreadsheetml/2006/main" count="204" uniqueCount="124">
  <si>
    <t>Data Validation Prep.</t>
  </si>
  <si>
    <t>BOL MAXX PUP HD 1.7 LX CBC</t>
  </si>
  <si>
    <t>BOL MAXX PUP HD 1.7 LX</t>
  </si>
  <si>
    <t>BOL MAXX PUP HD 1.7 VXI</t>
  </si>
  <si>
    <t>BOL MAXX PUP HD 1.7 VXI AC</t>
  </si>
  <si>
    <t>BOL MAXX PUP HD 1.7 MX</t>
  </si>
  <si>
    <t>BOL MAXX PUP HD 1.7L LX</t>
  </si>
  <si>
    <t>BOL MAXX PUP HD 1.7L VXI</t>
  </si>
  <si>
    <t>BOL MAXX PUP HD 1.7L MX</t>
  </si>
  <si>
    <t>BOL MAXX PUP HD 1.7L SXI AC</t>
  </si>
  <si>
    <t>BOL MAXX PUP HD 2.0L LX CBC</t>
  </si>
  <si>
    <t>BOL MAXX PUP HD 2.0L LX</t>
  </si>
  <si>
    <t>BOL MAXX PUP HD 2.0L MX</t>
  </si>
  <si>
    <t>BOL MAXX PUP HD 2.0L VXI AC</t>
  </si>
  <si>
    <t>BOL MAXX PUP HD 1.3 LX</t>
  </si>
  <si>
    <t>BOL MAXX PUP HD 1.3 VXID AC</t>
  </si>
  <si>
    <t>BOL MAXX PUP CITY 1.3 VXID AC</t>
  </si>
  <si>
    <t>BOL MAXX PUP CITY 1.3 SXI AC</t>
  </si>
  <si>
    <t>BOL MAXX PUP CITY 1.3 MXD</t>
  </si>
  <si>
    <t>BOL MAXX PUP CITY LX CNG</t>
  </si>
  <si>
    <t>MAXX CITY 1.3 LX BS6.2</t>
  </si>
  <si>
    <t>MAXX CITY 1.3 LX CBC BS6.2</t>
  </si>
  <si>
    <t>MAXX CITY 1.3 MXi BS6.2</t>
  </si>
  <si>
    <t>MAXX CITY 1.3 SXi AC - BS6.2</t>
  </si>
  <si>
    <t>MAXX CITY 1.3 VXi AC - BS6.2</t>
  </si>
  <si>
    <t>MAXX CITY LX CNG BS6.2</t>
  </si>
  <si>
    <t>MAXX HD 1.3 LX BS6.2</t>
  </si>
  <si>
    <t>MAXX HD 1.3 VXi AC - BS6.2</t>
  </si>
  <si>
    <t>MAXX HD 1.7 LX BS6.2</t>
  </si>
  <si>
    <t>MAXX HD 1.7 LX CBC BS6.2</t>
  </si>
  <si>
    <t>MAXX HD 1.7 MXi BS6.2</t>
  </si>
  <si>
    <t>MAXX HD 1.7 VXi BS6.2</t>
  </si>
  <si>
    <t>MAXX HD 1.7 VXi AC - BS6.2</t>
  </si>
  <si>
    <t>MAXX HD 1.7L LX BS6.2</t>
  </si>
  <si>
    <t>MAXX HD 1.7L MXi BS6.2</t>
  </si>
  <si>
    <t>MAXX HD 1.7L SXi AC - BS6.2</t>
  </si>
  <si>
    <t>MAXX HD 1.7L VXi BS6.2</t>
  </si>
  <si>
    <t>MAXX HD 2.0L LX BS6.2</t>
  </si>
  <si>
    <t>MAXX HD 2.0L LX CBC BS6.2</t>
  </si>
  <si>
    <t>MAXX HD 2.0L MXi BS6.2</t>
  </si>
  <si>
    <t>MAXX HD 2.0L VXi AC - BS6.2</t>
  </si>
  <si>
    <t>Select Vehicle Variant</t>
  </si>
  <si>
    <t>Variant</t>
  </si>
  <si>
    <t>TCS</t>
  </si>
  <si>
    <t>MAXI CARE</t>
  </si>
  <si>
    <t>Accessories</t>
  </si>
  <si>
    <t>Vehicle Price</t>
  </si>
  <si>
    <t>Ex-Showroom Price</t>
  </si>
  <si>
    <t>VIN
2025</t>
  </si>
  <si>
    <t>VEHICLE PRICE</t>
  </si>
  <si>
    <t>Model Name</t>
  </si>
  <si>
    <t>BOL MAXX PUP HD LX CNG</t>
  </si>
  <si>
    <t>MAXX HD LX CNG BS6.2</t>
  </si>
  <si>
    <t>MODEL &amp; VARIANT</t>
  </si>
  <si>
    <t>MAXX HD 1.9 Vxi CNG BS6.2</t>
  </si>
  <si>
    <t>BOL MAXX PUP HD 2.0L SXI AC</t>
  </si>
  <si>
    <t>MAXX HD 2.0L SXi AC - BS6.2</t>
  </si>
  <si>
    <t>BOL MAXX PUP HD 2.0L SXI AC CBC</t>
  </si>
  <si>
    <t>MAXX HD 2.0L SXi CBC AC - BS6.2</t>
  </si>
  <si>
    <t>There is no discount on accessories package</t>
  </si>
  <si>
    <t>Sr.</t>
  </si>
  <si>
    <t>Points</t>
  </si>
  <si>
    <t>Only bulk deals of 10 or more vehicles will be considered outside the cartel</t>
  </si>
  <si>
    <t>As per price list insurance is mandatory</t>
  </si>
  <si>
    <t>Invoice on full amount</t>
  </si>
  <si>
    <t>VIN 2026 Dealer Offer</t>
  </si>
  <si>
    <t>VIN 2025 Dealer Offer</t>
  </si>
  <si>
    <t>VIN 2026</t>
  </si>
  <si>
    <t>Exchange Bonus</t>
  </si>
  <si>
    <t>Scrappage Bonus</t>
  </si>
  <si>
    <t>Other Offers</t>
  </si>
  <si>
    <t>Total M&amp;M Scheme with GST (2026)</t>
  </si>
  <si>
    <t>Comprehensive + Zero Dep. Insurance</t>
  </si>
  <si>
    <t>R.T.O. Charges With Hypo.</t>
  </si>
  <si>
    <t>RSA (Road Side Assistance) For 1 Year</t>
  </si>
  <si>
    <t>SMC Road - Tax (If Applicable)</t>
  </si>
  <si>
    <t>ON ROAD PRICE With SMC Road Tax</t>
  </si>
  <si>
    <t>ON ROAD PRICE Without SMC Road Tax</t>
  </si>
  <si>
    <t>M&amp;M Scheme with GST (2025)</t>
  </si>
  <si>
    <t>Dealer Contribution with GST (2025)</t>
  </si>
  <si>
    <t>Total Scheme with GST (M&amp;M + Dealer) (2025)</t>
  </si>
  <si>
    <t>Price will remain the same at both dealerships</t>
  </si>
  <si>
    <t>BOL PIK UP FB 1.3T - BS6.2 - PS - Refresh</t>
  </si>
  <si>
    <t>BOL PIK UP FB 1.3T - BS6.2 - PS AC - Refresh</t>
  </si>
  <si>
    <t>BOL MAXX PUP CITY 1.3 LXD</t>
  </si>
  <si>
    <t>BOL MAXX PUP CITY 1.3 LXD CBC</t>
  </si>
  <si>
    <t>BOL MAXX PUP HD 1.9 VXi CNG</t>
  </si>
  <si>
    <t>BOLERO PIK-UP FB PS 1.3T - Refresh</t>
  </si>
  <si>
    <t>BOLERO PIK-UP FB PS AC 1.3T - Refresh</t>
  </si>
  <si>
    <t>BOLERO PIK UP 4WD PS - Refresh</t>
  </si>
  <si>
    <t>BOLERO CAMPER 2WD PSD CV - Refresh</t>
  </si>
  <si>
    <t>BOLERO CAMPER 2WD PSD CV RXD - Refresh</t>
  </si>
  <si>
    <t>BOLERO CAMPER 2WD PSD - Refresh</t>
  </si>
  <si>
    <t>BOLERO CAMPER 4WD PSD - Refresh</t>
  </si>
  <si>
    <t>BOLERO CAMPER GOLD ZXD - Refresh</t>
  </si>
  <si>
    <t>BOLERO CAMPER 2WD PSD RXD - Refresh</t>
  </si>
  <si>
    <t>BOLERO CAMPER 4WD PSD RXD - Refresh</t>
  </si>
  <si>
    <t>BOLERO PIK UP 4WD PS AC - Refresh</t>
  </si>
  <si>
    <t>BOL PIK UP 4WD BS6.2 - PS - Refresh</t>
  </si>
  <si>
    <t>BOL PIK UP 4WD BS6.2 - PS AC - Refresh</t>
  </si>
  <si>
    <t>BOL CAMPER 2WD BS6.2 - CV - Refresh</t>
  </si>
  <si>
    <t>BOL CAMPER GOLD RXD BS6.2 CV - Refresh</t>
  </si>
  <si>
    <t>BOL CAMPER 2WD BS6.2 - Refresh</t>
  </si>
  <si>
    <t>BOL CAMPER 4WD BS6.2 - Refresh</t>
  </si>
  <si>
    <t>BOL CAMPER GOLD ZXD BS6.2- Refresh</t>
  </si>
  <si>
    <t>BOL CAMPER GOLD RXD BS6.2 - Refresh</t>
  </si>
  <si>
    <t>BOL CAMPER GOLD RXD 4WD BS6.2 - Refresh</t>
  </si>
  <si>
    <t>13K + RSA FREE</t>
  </si>
  <si>
    <t>Insurance is mandatory for vehicles older than 90 days.</t>
  </si>
  <si>
    <t>Out-of-territory vehicles will be kept out of the cartel.</t>
  </si>
  <si>
    <t>Insurance is mandatory for all vehicles with a 2025 VIN.</t>
  </si>
  <si>
    <t>VIN 25 vehicles will remain out of cartel</t>
  </si>
  <si>
    <t>An accessories package worth ₹12,000 will be mandatory.</t>
  </si>
  <si>
    <t>NO Business with DSA Sales</t>
  </si>
  <si>
    <t>33K + RSA FREE</t>
  </si>
  <si>
    <t>63K + RSA FREE</t>
  </si>
  <si>
    <t>8K + RSA FREE</t>
  </si>
  <si>
    <t>18K + RSA FREE</t>
  </si>
  <si>
    <t>=VLOOKUP(A3,'[CV Price List D. 03.06.2026.xlsx]Price List'!$B$1:$L$40,{2,3,4,5,6,7,8},FALSE)</t>
  </si>
  <si>
    <t>JUNE-2026 - VIN 2026</t>
  </si>
  <si>
    <t>50K + RSA FREE</t>
  </si>
  <si>
    <t>30K + RSA FREE</t>
  </si>
  <si>
    <t>35K + RSA FREE</t>
  </si>
  <si>
    <t>15K + RSA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</si>
</sst>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AEB"/>
        <bgColor indexed="64"/>
      </patternFill>
    </fill>
    <fill>
      <patternFill patternType="solid">
        <fgColor rgb="FF2981B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theme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74">
    <xf numFmtId="0" fontId="0" fillId="0" borderId="0" xfId="0"/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vertical="center" wrapText="1"/>
    </xf>
    <xf numFmtId="0" fontId="9" fillId="5" borderId="4" xfId="4" applyNumberFormat="1" applyFont="1" applyFill="1" applyBorder="1" applyAlignment="1">
      <alignment horizontal="center" vertical="center" wrapText="1"/>
    </xf>
    <xf numFmtId="0" fontId="9" fillId="5" borderId="5" xfId="4" applyNumberFormat="1" applyFont="1" applyFill="1" applyBorder="1" applyAlignment="1">
      <alignment horizontal="center" vertical="center" wrapText="1"/>
    </xf>
    <xf numFmtId="43" fontId="7" fillId="6" borderId="7" xfId="4" applyFont="1" applyFill="1" applyBorder="1"/>
    <xf numFmtId="43" fontId="7" fillId="6" borderId="9" xfId="4" applyFont="1" applyFill="1" applyBorder="1"/>
    <xf numFmtId="0" fontId="0" fillId="7" borderId="0" xfId="0" applyFill="1"/>
    <xf numFmtId="0" fontId="10" fillId="7" borderId="0" xfId="0" applyFont="1" applyFill="1"/>
    <xf numFmtId="0" fontId="3" fillId="2" borderId="19" xfId="0" applyFont="1" applyFill="1" applyBorder="1" applyProtection="1">
      <protection locked="0"/>
    </xf>
    <xf numFmtId="0" fontId="7" fillId="0" borderId="0" xfId="0" applyFont="1"/>
    <xf numFmtId="0" fontId="3" fillId="9" borderId="10" xfId="0" applyFont="1" applyFill="1" applyBorder="1"/>
    <xf numFmtId="0" fontId="3" fillId="9" borderId="20" xfId="0" applyFont="1" applyFill="1" applyBorder="1"/>
    <xf numFmtId="0" fontId="3" fillId="11" borderId="17" xfId="0" applyFont="1" applyFill="1" applyBorder="1"/>
    <xf numFmtId="0" fontId="3" fillId="11" borderId="10" xfId="0" applyFont="1" applyFill="1" applyBorder="1"/>
    <xf numFmtId="43" fontId="3" fillId="11" borderId="16" xfId="4" applyFont="1" applyFill="1" applyBorder="1" applyProtection="1">
      <protection hidden="1"/>
    </xf>
    <xf numFmtId="43" fontId="3" fillId="11" borderId="11" xfId="4" applyFont="1" applyFill="1" applyBorder="1" applyAlignment="1" applyProtection="1">
      <alignment horizontal="right"/>
      <protection hidden="1"/>
    </xf>
    <xf numFmtId="43" fontId="3" fillId="11" borderId="11" xfId="4" applyFont="1" applyFill="1" applyBorder="1" applyProtection="1">
      <protection hidden="1"/>
    </xf>
    <xf numFmtId="43" fontId="3" fillId="9" borderId="11" xfId="4" applyFont="1" applyFill="1" applyBorder="1" applyProtection="1">
      <protection hidden="1"/>
    </xf>
    <xf numFmtId="43" fontId="3" fillId="9" borderId="18" xfId="4" applyFont="1" applyFill="1" applyBorder="1" applyProtection="1">
      <protection hidden="1"/>
    </xf>
    <xf numFmtId="0" fontId="6" fillId="13" borderId="7" xfId="0" applyFont="1" applyFill="1" applyBorder="1"/>
    <xf numFmtId="0" fontId="6" fillId="13" borderId="10" xfId="0" applyFont="1" applyFill="1" applyBorder="1"/>
    <xf numFmtId="0" fontId="12" fillId="13" borderId="11" xfId="0" applyFont="1" applyFill="1" applyBorder="1"/>
    <xf numFmtId="0" fontId="6" fillId="14" borderId="4" xfId="0" applyFont="1" applyFill="1" applyBorder="1" applyAlignment="1">
      <alignment vertical="center" wrapText="1"/>
    </xf>
    <xf numFmtId="0" fontId="6" fillId="14" borderId="6" xfId="0" applyFont="1" applyFill="1" applyBorder="1" applyAlignment="1">
      <alignment vertical="center"/>
    </xf>
    <xf numFmtId="0" fontId="9" fillId="5" borderId="23" xfId="4" applyNumberFormat="1" applyFont="1" applyFill="1" applyBorder="1" applyAlignment="1">
      <alignment horizontal="center" vertical="center" wrapText="1"/>
    </xf>
    <xf numFmtId="43" fontId="7" fillId="6" borderId="24" xfId="4" applyFont="1" applyFill="1" applyBorder="1"/>
    <xf numFmtId="0" fontId="6" fillId="16" borderId="12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vertical="center"/>
    </xf>
    <xf numFmtId="0" fontId="13" fillId="15" borderId="12" xfId="0" applyFont="1" applyFill="1" applyBorder="1" applyAlignment="1">
      <alignment vertical="center"/>
    </xf>
    <xf numFmtId="0" fontId="6" fillId="16" borderId="12" xfId="0" applyFont="1" applyFill="1" applyBorder="1" applyAlignment="1">
      <alignment vertical="center" wrapText="1"/>
    </xf>
    <xf numFmtId="0" fontId="0" fillId="0" borderId="0" xfId="0" quotePrefix="1"/>
    <xf numFmtId="0" fontId="9" fillId="17" borderId="25" xfId="4" applyNumberFormat="1" applyFont="1" applyFill="1" applyBorder="1" applyAlignment="1">
      <alignment horizontal="center" vertical="center" wrapText="1"/>
    </xf>
    <xf numFmtId="0" fontId="9" fillId="17" borderId="6" xfId="4" applyNumberFormat="1" applyFont="1" applyFill="1" applyBorder="1" applyAlignment="1">
      <alignment horizontal="center" vertical="center" wrapText="1"/>
    </xf>
    <xf numFmtId="43" fontId="7" fillId="8" borderId="31" xfId="4" applyFont="1" applyFill="1" applyBorder="1"/>
    <xf numFmtId="0" fontId="3" fillId="19" borderId="21" xfId="0" applyFont="1" applyFill="1" applyBorder="1" applyAlignment="1">
      <alignment vertical="center"/>
    </xf>
    <xf numFmtId="43" fontId="3" fillId="19" borderId="11" xfId="4" applyFont="1" applyFill="1" applyBorder="1" applyAlignment="1" applyProtection="1">
      <protection hidden="1"/>
    </xf>
    <xf numFmtId="0" fontId="3" fillId="19" borderId="22" xfId="0" applyFont="1" applyFill="1" applyBorder="1" applyAlignment="1">
      <alignment vertical="center"/>
    </xf>
    <xf numFmtId="43" fontId="3" fillId="19" borderId="8" xfId="4" applyFont="1" applyFill="1" applyBorder="1" applyProtection="1">
      <protection hidden="1"/>
    </xf>
    <xf numFmtId="0" fontId="3" fillId="19" borderId="31" xfId="0" applyFont="1" applyFill="1" applyBorder="1"/>
    <xf numFmtId="43" fontId="3" fillId="20" borderId="16" xfId="4" applyFont="1" applyFill="1" applyBorder="1" applyProtection="1">
      <protection hidden="1"/>
    </xf>
    <xf numFmtId="43" fontId="3" fillId="22" borderId="16" xfId="4" applyFont="1" applyFill="1" applyBorder="1" applyAlignment="1" applyProtection="1">
      <protection hidden="1"/>
    </xf>
    <xf numFmtId="43" fontId="3" fillId="22" borderId="13" xfId="4" applyFont="1" applyFill="1" applyBorder="1" applyAlignment="1" applyProtection="1">
      <protection hidden="1"/>
    </xf>
    <xf numFmtId="0" fontId="3" fillId="22" borderId="34" xfId="0" applyFont="1" applyFill="1" applyBorder="1" applyAlignment="1">
      <alignment vertical="center"/>
    </xf>
    <xf numFmtId="0" fontId="3" fillId="22" borderId="35" xfId="0" applyFont="1" applyFill="1" applyBorder="1" applyAlignment="1">
      <alignment vertical="center"/>
    </xf>
    <xf numFmtId="0" fontId="3" fillId="20" borderId="34" xfId="0" applyFont="1" applyFill="1" applyBorder="1"/>
    <xf numFmtId="0" fontId="3" fillId="20" borderId="35" xfId="0" applyFont="1" applyFill="1" applyBorder="1"/>
    <xf numFmtId="43" fontId="3" fillId="20" borderId="13" xfId="4" applyFont="1" applyFill="1" applyBorder="1" applyAlignment="1" applyProtection="1">
      <alignment horizontal="right"/>
      <protection hidden="1"/>
    </xf>
    <xf numFmtId="43" fontId="3" fillId="19" borderId="18" xfId="4" applyFont="1" applyFill="1" applyBorder="1" applyAlignment="1" applyProtection="1">
      <alignment horizontal="right" vertical="center"/>
      <protection hidden="1"/>
    </xf>
    <xf numFmtId="0" fontId="8" fillId="18" borderId="4" xfId="0" applyFont="1" applyFill="1" applyBorder="1" applyAlignment="1">
      <alignment horizontal="center" vertical="center" wrapText="1"/>
    </xf>
    <xf numFmtId="0" fontId="8" fillId="18" borderId="6" xfId="0" applyFont="1" applyFill="1" applyBorder="1" applyAlignment="1">
      <alignment horizontal="center" vertical="center" wrapText="1"/>
    </xf>
    <xf numFmtId="43" fontId="7" fillId="18" borderId="17" xfId="4" applyFont="1" applyFill="1" applyBorder="1"/>
    <xf numFmtId="43" fontId="7" fillId="18" borderId="16" xfId="4" applyFont="1" applyFill="1" applyBorder="1"/>
    <xf numFmtId="43" fontId="7" fillId="18" borderId="10" xfId="4" applyFont="1" applyFill="1" applyBorder="1"/>
    <xf numFmtId="43" fontId="7" fillId="18" borderId="11" xfId="4" applyFont="1" applyFill="1" applyBorder="1"/>
    <xf numFmtId="0" fontId="3" fillId="9" borderId="1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3" fillId="10" borderId="29" xfId="0" applyFont="1" applyFill="1" applyBorder="1" applyAlignment="1">
      <alignment horizontal="center" vertical="center" wrapText="1"/>
    </xf>
    <xf numFmtId="0" fontId="3" fillId="15" borderId="32" xfId="0" applyFont="1" applyFill="1" applyBorder="1" applyAlignment="1">
      <alignment horizontal="center" vertical="center" wrapText="1"/>
    </xf>
    <xf numFmtId="0" fontId="3" fillId="21" borderId="30" xfId="0" applyFont="1" applyFill="1" applyBorder="1" applyAlignment="1">
      <alignment horizontal="center" vertical="center" wrapText="1"/>
    </xf>
    <xf numFmtId="0" fontId="3" fillId="21" borderId="3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11" fillId="12" borderId="25" xfId="0" applyFont="1" applyFill="1" applyBorder="1" applyAlignment="1">
      <alignment horizontal="center"/>
    </xf>
    <xf numFmtId="0" fontId="11" fillId="12" borderId="26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11" fillId="18" borderId="25" xfId="0" applyFont="1" applyFill="1" applyBorder="1" applyAlignment="1">
      <alignment horizontal="center"/>
    </xf>
    <xf numFmtId="0" fontId="11" fillId="18" borderId="26" xfId="0" applyFont="1" applyFill="1" applyBorder="1" applyAlignment="1">
      <alignment horizontal="center"/>
    </xf>
    <xf numFmtId="43" fontId="7" fillId="8" borderId="8" xfId="4" applyFont="1" applyFill="1" applyBorder="1" applyAlignment="1">
      <alignment horizontal="center"/>
    </xf>
  </cellXfs>
  <cellStyles count="5">
    <cellStyle name="Comma" xfId="4" builtinId="3"/>
    <cellStyle name="Hyperlink 2" xfId="2" xr:uid="{27EE3EE4-7E72-485A-9013-CF3915E6962D}"/>
    <cellStyle name="Hyperlink 3" xfId="3" xr:uid="{404D0859-4108-4E79-9211-21AB6A0BB793}"/>
    <cellStyle name="Normal" xfId="0" builtinId="0"/>
    <cellStyle name="Normal 2" xfId="1" xr:uid="{A53F5D57-8CD3-405C-B8DD-B76D001D1484}"/>
  </cellStyles>
  <dxfs count="5"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AEB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AE078-4B16-48B9-8BF3-4669B8F5320F}" name="Vehicle_Model" displayName="Vehicle_Model" ref="A1:A44" totalsRowShown="0" headerRowDxfId="4" headerRowBorderDxfId="3" tableBorderDxfId="2" totalsRowBorderDxfId="1">
  <autoFilter ref="A1:A44" xr:uid="{872D1F9E-68E2-4FA8-806D-2A1889730C7F}"/>
  <tableColumns count="1">
    <tableColumn id="1" xr3:uid="{89CC6FEA-DA6F-4E5E-BBF2-524328D29EB1}" name="Varia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7A5D-75B1-45E6-A53D-CFAC6F741ABF}">
  <sheetPr codeName="Sheet1"/>
  <dimension ref="A1:S50"/>
  <sheetViews>
    <sheetView showGridLines="0" tabSelected="1" zoomScaleNormal="100" workbookViewId="0">
      <selection activeCell="D3" sqref="D3"/>
    </sheetView>
  </sheetViews>
  <sheetFormatPr defaultRowHeight="15"/>
  <cols>
    <col min="2" max="2" width="12.140625" customWidth="1"/>
    <col min="3" max="3" width="47.5703125" bestFit="1" customWidth="1"/>
    <col min="4" max="4" width="60.7109375" customWidth="1"/>
    <col min="5" max="5" width="3.85546875" customWidth="1"/>
    <col min="6" max="6" width="4.140625" customWidth="1"/>
    <col min="7" max="7" width="69.140625" bestFit="1" customWidth="1"/>
  </cols>
  <sheetData>
    <row r="1" spans="1:19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 thickBot="1">
      <c r="A2" s="9"/>
      <c r="B2" s="9"/>
      <c r="C2" s="9"/>
      <c r="D2" s="10" t="s">
        <v>41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8.75">
      <c r="A3" s="9"/>
      <c r="B3" s="9"/>
      <c r="C3" s="9"/>
      <c r="D3" s="11" t="s">
        <v>20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15.75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18.75">
      <c r="A5" s="9"/>
      <c r="B5" s="57" t="s">
        <v>46</v>
      </c>
      <c r="C5" s="15" t="s">
        <v>47</v>
      </c>
      <c r="D5" s="17">
        <f>IFERROR(VLOOKUP($D$3,Sheet1!$B$2:$R$46,MATCH(Report!$C5,Sheet1!$B$2:$R$2,0),0),"")</f>
        <v>793501</v>
      </c>
      <c r="E5" s="9"/>
      <c r="F5" s="31" t="s">
        <v>60</v>
      </c>
      <c r="G5" s="31" t="s">
        <v>61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ht="18.75">
      <c r="A6" s="9"/>
      <c r="B6" s="58"/>
      <c r="C6" s="16" t="s">
        <v>43</v>
      </c>
      <c r="D6" s="18">
        <f>IFERROR(VLOOKUP($D$3,Sheet1!$B$2:$R$46,MATCH(Report!$C6,Sheet1!$B$2:$R$2,0),0),"")</f>
        <v>0</v>
      </c>
      <c r="E6" s="9"/>
      <c r="F6" s="29">
        <v>1</v>
      </c>
      <c r="G6" s="30" t="s">
        <v>108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ht="18.75">
      <c r="A7" s="9"/>
      <c r="B7" s="58"/>
      <c r="C7" s="16" t="s">
        <v>72</v>
      </c>
      <c r="D7" s="19">
        <f>IFERROR(VLOOKUP($D$3,Sheet1!$B$2:$R$46,MATCH(Report!$C7,Sheet1!$B$2:$R$2,0),0),"")</f>
        <v>46664</v>
      </c>
      <c r="E7" s="9"/>
      <c r="F7" s="29">
        <v>2</v>
      </c>
      <c r="G7" s="30" t="s">
        <v>109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ht="18.75">
      <c r="A8" s="9"/>
      <c r="B8" s="58"/>
      <c r="C8" s="16" t="s">
        <v>73</v>
      </c>
      <c r="D8" s="19">
        <f>IFERROR(VLOOKUP($D$3,Sheet1!$B$2:$R$46,MATCH(Report!$C8,Sheet1!$B$2:$R$2,0),0),"")</f>
        <v>42648</v>
      </c>
      <c r="E8" s="9"/>
      <c r="F8" s="29">
        <v>3</v>
      </c>
      <c r="G8" s="32" t="s">
        <v>110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ht="18.75">
      <c r="A9" s="9"/>
      <c r="B9" s="58"/>
      <c r="C9" s="16" t="s">
        <v>74</v>
      </c>
      <c r="D9" s="19">
        <f>IFERROR(VLOOKUP($D$3,Sheet1!$B$2:$R$46,MATCH(Report!$C9,Sheet1!$B$2:$R$2,0),0),"")</f>
        <v>1519</v>
      </c>
      <c r="E9" s="9"/>
      <c r="F9" s="29">
        <v>4</v>
      </c>
      <c r="G9" s="30" t="s">
        <v>111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ht="18.75">
      <c r="A10" s="9"/>
      <c r="B10" s="58"/>
      <c r="C10" s="16" t="s">
        <v>75</v>
      </c>
      <c r="D10" s="19">
        <f>IFERROR(VLOOKUP($D$3,Sheet1!$B$2:$R$46,MATCH(Report!$C10,Sheet1!$B$2:$R$2,0),0),"")</f>
        <v>19838</v>
      </c>
      <c r="E10" s="9"/>
      <c r="F10" s="29">
        <v>5</v>
      </c>
      <c r="G10" s="32" t="s">
        <v>112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ht="18.75">
      <c r="A11" s="9"/>
      <c r="B11" s="58"/>
      <c r="C11" s="16" t="s">
        <v>44</v>
      </c>
      <c r="D11" s="19">
        <f>IFERROR(VLOOKUP($D$3,Sheet1!$B$2:$R$46,MATCH(Report!$C11,Sheet1!$B$2:$R$2,0),0),"")</f>
        <v>3500</v>
      </c>
      <c r="E11" s="9"/>
      <c r="F11" s="29">
        <v>6</v>
      </c>
      <c r="G11" s="32" t="s">
        <v>59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ht="18.75">
      <c r="A12" s="9"/>
      <c r="B12" s="58"/>
      <c r="C12" s="16" t="s">
        <v>45</v>
      </c>
      <c r="D12" s="19">
        <f>IFERROR(VLOOKUP($D$3,Sheet1!$B$2:$R$46,MATCH(Report!$C12,Sheet1!$B$2:$R$2,0),0),"")</f>
        <v>12000</v>
      </c>
      <c r="E12" s="9"/>
      <c r="F12" s="29">
        <v>7</v>
      </c>
      <c r="G12" s="30" t="s">
        <v>63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ht="18.75" customHeight="1">
      <c r="A13" s="9"/>
      <c r="B13" s="58"/>
      <c r="C13" s="13" t="s">
        <v>76</v>
      </c>
      <c r="D13" s="20">
        <f>IFERROR(VLOOKUP($D$3,Sheet1!$B$2:$R$46,MATCH(Report!$C13,Sheet1!$B$2:$R$2,0),0),"")</f>
        <v>919670</v>
      </c>
      <c r="E13" s="9"/>
      <c r="F13" s="29">
        <v>8</v>
      </c>
      <c r="G13" s="30" t="s">
        <v>81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ht="19.5" thickBot="1">
      <c r="A14" s="9"/>
      <c r="B14" s="58"/>
      <c r="C14" s="14" t="s">
        <v>77</v>
      </c>
      <c r="D14" s="21">
        <f>IFERROR(VLOOKUP($D$3,Sheet1!$B$2:$R$46,MATCH(Report!$C14,Sheet1!$B$2:$R$2,0),0),"")</f>
        <v>899832</v>
      </c>
      <c r="E14" s="9"/>
      <c r="F14" s="29">
        <v>9</v>
      </c>
      <c r="G14" s="30" t="s">
        <v>113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ht="18.75">
      <c r="A15" s="9"/>
      <c r="B15" s="59" t="s">
        <v>67</v>
      </c>
      <c r="C15" s="47" t="s">
        <v>71</v>
      </c>
      <c r="D15" s="42">
        <f>IFERROR(VLOOKUP($D$3,Sheet1!$B$2:$R$46,MATCH(Report!$C15,Sheet1!$B$2:$R$2,0),0),"")</f>
        <v>45000</v>
      </c>
      <c r="E15" s="9"/>
      <c r="F15" s="29">
        <v>10</v>
      </c>
      <c r="G15" s="30" t="s">
        <v>64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ht="19.5" thickBot="1">
      <c r="A16" s="9"/>
      <c r="B16" s="60"/>
      <c r="C16" s="48" t="s">
        <v>65</v>
      </c>
      <c r="D16" s="49" t="str">
        <f>IFERROR(VLOOKUP($D$3,Sheet1!$B$2:$R$46,MATCH(Report!$C16,Sheet1!$B$2:$R$2,0),0),"")</f>
        <v>50K + RSA FREE</v>
      </c>
      <c r="E16" s="9"/>
      <c r="F16" s="29">
        <v>11</v>
      </c>
      <c r="G16" s="30" t="s">
        <v>62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18.75" customHeight="1">
      <c r="A17" s="9"/>
      <c r="B17" s="61" t="s">
        <v>48</v>
      </c>
      <c r="C17" s="41" t="s">
        <v>78</v>
      </c>
      <c r="D17" s="40" t="str">
        <f>IFERROR(VLOOKUP($D$3,Sheet1!$B$2:$R$46,MATCH(Report!$C17,Sheet1!$B$2:$R$2,0),0),"")</f>
        <v/>
      </c>
      <c r="E17" s="9"/>
      <c r="F17" s="29"/>
      <c r="G17" s="3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ht="18.75">
      <c r="A18" s="9"/>
      <c r="B18" s="61"/>
      <c r="C18" s="37" t="s">
        <v>79</v>
      </c>
      <c r="D18" s="38" t="str">
        <f>IFERROR(VLOOKUP($D$3,Sheet1!$B$2:$R$46,MATCH(Report!$C18,Sheet1!$B$2:$R$2,0),0),"")</f>
        <v/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ht="18.75">
      <c r="A19" s="9"/>
      <c r="B19" s="61"/>
      <c r="C19" s="39" t="s">
        <v>80</v>
      </c>
      <c r="D19" s="38" t="str">
        <f>IFERROR(VLOOKUP($D$3,Sheet1!$B$2:$R$46,MATCH(Report!$C19,Sheet1!$B$2:$R$2,0),0),"")</f>
        <v/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ht="19.5" thickBot="1">
      <c r="A20" s="9"/>
      <c r="B20" s="61"/>
      <c r="C20" s="39" t="s">
        <v>66</v>
      </c>
      <c r="D20" s="50" t="str">
        <f>IFERROR(VLOOKUP($D$3,Sheet1!$B$2:$R$46,MATCH(Report!$C20,Sheet1!$B$2:$R$2,0),0),"")</f>
        <v/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ht="18.75">
      <c r="A21" s="9"/>
      <c r="B21" s="62" t="s">
        <v>70</v>
      </c>
      <c r="C21" s="45" t="s">
        <v>68</v>
      </c>
      <c r="D21" s="43">
        <f>IFERROR(VLOOKUP($D$3,Sheet1!$B$2:$R$46,MATCH(Report!$C21,Sheet1!$B$2:$R$2,0),0),"")</f>
        <v>35000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ht="19.5" thickBot="1">
      <c r="A22" s="9"/>
      <c r="B22" s="63"/>
      <c r="C22" s="46" t="s">
        <v>69</v>
      </c>
      <c r="D22" s="44">
        <f>IFERROR(VLOOKUP($D$3,Sheet1!$B$2:$R$46,MATCH(Report!$C22,Sheet1!$B$2:$R$2,0),0),"")</f>
        <v>45000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19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</sheetData>
  <sortState xmlns:xlrd2="http://schemas.microsoft.com/office/spreadsheetml/2017/richdata2" ref="F5:G12">
    <sortCondition ref="F5:F12"/>
  </sortState>
  <mergeCells count="4">
    <mergeCell ref="B5:B14"/>
    <mergeCell ref="B15:B16"/>
    <mergeCell ref="B17:B20"/>
    <mergeCell ref="B21:B2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072EA3C-C228-4CC7-912A-B3190D504C5A}">
          <x14:formula1>
            <xm:f>_xlfn.ANCHORARRAY(MasterData!$C2)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E6FD-7762-4C22-90E4-A9620B029028}">
  <sheetPr codeName="Sheet2"/>
  <dimension ref="A1:P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RowHeight="15"/>
  <cols>
    <col min="1" max="1" width="40.85546875" style="12" bestFit="1" customWidth="1"/>
    <col min="2" max="2" width="37.85546875" style="12" customWidth="1"/>
    <col min="3" max="3" width="13.7109375" style="12" customWidth="1"/>
    <col min="4" max="4" width="10.28515625" style="12" customWidth="1"/>
    <col min="5" max="5" width="13.7109375" style="12" customWidth="1"/>
    <col min="6" max="6" width="11.42578125" style="12" customWidth="1"/>
    <col min="7" max="7" width="11.140625" style="12" customWidth="1"/>
    <col min="8" max="13" width="13.7109375" style="12" customWidth="1"/>
    <col min="14" max="14" width="25" style="12" bestFit="1" customWidth="1"/>
    <col min="15" max="16" width="10.5703125" style="12" customWidth="1"/>
    <col min="17" max="16384" width="9.140625" style="12"/>
  </cols>
  <sheetData>
    <row r="1" spans="1:16" ht="15.75" thickBot="1">
      <c r="A1" s="67" t="s">
        <v>53</v>
      </c>
      <c r="B1" s="68"/>
      <c r="C1" s="64" t="s">
        <v>49</v>
      </c>
      <c r="D1" s="65"/>
      <c r="E1" s="65"/>
      <c r="F1" s="65"/>
      <c r="G1" s="65"/>
      <c r="H1" s="65"/>
      <c r="I1" s="65"/>
      <c r="J1" s="65"/>
      <c r="K1" s="65"/>
      <c r="L1" s="66"/>
      <c r="M1" s="69" t="s">
        <v>119</v>
      </c>
      <c r="N1" s="70"/>
      <c r="O1" s="71" t="s">
        <v>70</v>
      </c>
      <c r="P1" s="72"/>
    </row>
    <row r="2" spans="1:16" ht="60.75" thickBot="1">
      <c r="A2" s="25" t="s">
        <v>50</v>
      </c>
      <c r="B2" s="26" t="s">
        <v>42</v>
      </c>
      <c r="C2" s="5" t="s">
        <v>47</v>
      </c>
      <c r="D2" s="6" t="s">
        <v>43</v>
      </c>
      <c r="E2" s="6" t="s">
        <v>72</v>
      </c>
      <c r="F2" s="6" t="s">
        <v>73</v>
      </c>
      <c r="G2" s="6" t="s">
        <v>74</v>
      </c>
      <c r="H2" s="6" t="s">
        <v>75</v>
      </c>
      <c r="I2" s="6" t="s">
        <v>44</v>
      </c>
      <c r="J2" s="6" t="s">
        <v>45</v>
      </c>
      <c r="K2" s="6" t="s">
        <v>76</v>
      </c>
      <c r="L2" s="27" t="s">
        <v>77</v>
      </c>
      <c r="M2" s="34" t="s">
        <v>71</v>
      </c>
      <c r="N2" s="35" t="s">
        <v>65</v>
      </c>
      <c r="O2" s="51" t="s">
        <v>68</v>
      </c>
      <c r="P2" s="52" t="s">
        <v>69</v>
      </c>
    </row>
    <row r="3" spans="1:16">
      <c r="A3" s="22" t="s">
        <v>84</v>
      </c>
      <c r="B3" s="24" t="s">
        <v>20</v>
      </c>
      <c r="C3" s="7">
        <v>793501</v>
      </c>
      <c r="D3" s="8">
        <v>0</v>
      </c>
      <c r="E3" s="8">
        <v>46664</v>
      </c>
      <c r="F3" s="8">
        <v>42648</v>
      </c>
      <c r="G3" s="8">
        <v>1519</v>
      </c>
      <c r="H3" s="8">
        <v>19838</v>
      </c>
      <c r="I3" s="8">
        <v>3500</v>
      </c>
      <c r="J3" s="8">
        <v>12000</v>
      </c>
      <c r="K3" s="8">
        <f>SUM(C3:J3)</f>
        <v>919670</v>
      </c>
      <c r="L3" s="28">
        <f>K3-H3</f>
        <v>899832</v>
      </c>
      <c r="M3" s="36">
        <v>45000</v>
      </c>
      <c r="N3" s="73" t="s">
        <v>120</v>
      </c>
      <c r="O3" s="53">
        <v>35000</v>
      </c>
      <c r="P3" s="54">
        <v>45000</v>
      </c>
    </row>
    <row r="4" spans="1:16">
      <c r="A4" s="23" t="s">
        <v>85</v>
      </c>
      <c r="B4" s="24" t="s">
        <v>21</v>
      </c>
      <c r="C4" s="7">
        <v>784501</v>
      </c>
      <c r="D4" s="8">
        <v>0</v>
      </c>
      <c r="E4" s="8">
        <v>46371</v>
      </c>
      <c r="F4" s="8">
        <v>43290</v>
      </c>
      <c r="G4" s="8">
        <v>1519</v>
      </c>
      <c r="H4" s="8">
        <v>19613</v>
      </c>
      <c r="I4" s="8">
        <v>3500</v>
      </c>
      <c r="J4" s="8">
        <v>12000</v>
      </c>
      <c r="K4" s="8">
        <f t="shared" ref="K4:K38" si="0">SUM(C4:J4)</f>
        <v>910794</v>
      </c>
      <c r="L4" s="28">
        <f t="shared" ref="L4:L38" si="1">K4-H4</f>
        <v>891181</v>
      </c>
      <c r="M4" s="36">
        <v>45000</v>
      </c>
      <c r="N4" s="73" t="s">
        <v>120</v>
      </c>
      <c r="O4" s="55">
        <v>35000</v>
      </c>
      <c r="P4" s="56">
        <v>45000</v>
      </c>
    </row>
    <row r="5" spans="1:16">
      <c r="A5" s="23" t="s">
        <v>18</v>
      </c>
      <c r="B5" s="24" t="s">
        <v>22</v>
      </c>
      <c r="C5" s="7">
        <v>822501</v>
      </c>
      <c r="D5" s="8">
        <v>0</v>
      </c>
      <c r="E5" s="8">
        <v>47817</v>
      </c>
      <c r="F5" s="8">
        <v>44122</v>
      </c>
      <c r="G5" s="8">
        <v>1519</v>
      </c>
      <c r="H5" s="8">
        <v>20563</v>
      </c>
      <c r="I5" s="8">
        <v>3500</v>
      </c>
      <c r="J5" s="8">
        <v>12000</v>
      </c>
      <c r="K5" s="8">
        <f t="shared" si="0"/>
        <v>952022</v>
      </c>
      <c r="L5" s="28">
        <f t="shared" si="1"/>
        <v>931459</v>
      </c>
      <c r="M5" s="36">
        <v>45000</v>
      </c>
      <c r="N5" s="73" t="s">
        <v>120</v>
      </c>
      <c r="O5" s="55">
        <v>35000</v>
      </c>
      <c r="P5" s="56">
        <v>45000</v>
      </c>
    </row>
    <row r="6" spans="1:16">
      <c r="A6" s="23" t="s">
        <v>17</v>
      </c>
      <c r="B6" s="24" t="s">
        <v>23</v>
      </c>
      <c r="C6" s="7">
        <v>816500</v>
      </c>
      <c r="D6" s="8">
        <v>0</v>
      </c>
      <c r="E6" s="8">
        <v>47412</v>
      </c>
      <c r="F6" s="8">
        <v>43817</v>
      </c>
      <c r="G6" s="8">
        <v>1519</v>
      </c>
      <c r="H6" s="8">
        <v>20413</v>
      </c>
      <c r="I6" s="8">
        <v>3500</v>
      </c>
      <c r="J6" s="8">
        <v>12000</v>
      </c>
      <c r="K6" s="8">
        <f t="shared" si="0"/>
        <v>945161</v>
      </c>
      <c r="L6" s="28">
        <f t="shared" si="1"/>
        <v>924748</v>
      </c>
      <c r="M6" s="36">
        <v>33000</v>
      </c>
      <c r="N6" s="73" t="s">
        <v>114</v>
      </c>
      <c r="O6" s="55">
        <v>35000</v>
      </c>
      <c r="P6" s="56">
        <v>45000</v>
      </c>
    </row>
    <row r="7" spans="1:16">
      <c r="A7" s="23" t="s">
        <v>16</v>
      </c>
      <c r="B7" s="24" t="s">
        <v>24</v>
      </c>
      <c r="C7" s="7">
        <v>835500</v>
      </c>
      <c r="D7" s="8">
        <v>0</v>
      </c>
      <c r="E7" s="8">
        <v>48395</v>
      </c>
      <c r="F7" s="8">
        <v>44783</v>
      </c>
      <c r="G7" s="8">
        <v>1519</v>
      </c>
      <c r="H7" s="8">
        <v>20888</v>
      </c>
      <c r="I7" s="8">
        <v>3500</v>
      </c>
      <c r="J7" s="8">
        <v>12000</v>
      </c>
      <c r="K7" s="8">
        <f t="shared" si="0"/>
        <v>966585</v>
      </c>
      <c r="L7" s="28">
        <f t="shared" si="1"/>
        <v>945697</v>
      </c>
      <c r="M7" s="36">
        <v>33000</v>
      </c>
      <c r="N7" s="73" t="s">
        <v>114</v>
      </c>
      <c r="O7" s="55">
        <v>35000</v>
      </c>
      <c r="P7" s="56">
        <v>45000</v>
      </c>
    </row>
    <row r="8" spans="1:16">
      <c r="A8" s="23" t="s">
        <v>19</v>
      </c>
      <c r="B8" s="24" t="s">
        <v>25</v>
      </c>
      <c r="C8" s="7">
        <v>816501</v>
      </c>
      <c r="D8" s="8">
        <v>0</v>
      </c>
      <c r="E8" s="8">
        <v>47412</v>
      </c>
      <c r="F8" s="8">
        <v>43817</v>
      </c>
      <c r="G8" s="8">
        <v>1519</v>
      </c>
      <c r="H8" s="8">
        <v>12248</v>
      </c>
      <c r="I8" s="8">
        <v>3500</v>
      </c>
      <c r="J8" s="8">
        <v>12000</v>
      </c>
      <c r="K8" s="8">
        <f t="shared" si="0"/>
        <v>936997</v>
      </c>
      <c r="L8" s="28">
        <f t="shared" si="1"/>
        <v>924749</v>
      </c>
      <c r="M8" s="36">
        <v>63000.000000000007</v>
      </c>
      <c r="N8" s="73" t="s">
        <v>115</v>
      </c>
      <c r="O8" s="55">
        <v>35000</v>
      </c>
      <c r="P8" s="56">
        <v>45000</v>
      </c>
    </row>
    <row r="9" spans="1:16">
      <c r="A9" s="23" t="s">
        <v>14</v>
      </c>
      <c r="B9" s="24" t="s">
        <v>26</v>
      </c>
      <c r="C9" s="7">
        <v>943499</v>
      </c>
      <c r="D9" s="8">
        <v>0</v>
      </c>
      <c r="E9" s="8">
        <v>51559</v>
      </c>
      <c r="F9" s="8">
        <v>50275</v>
      </c>
      <c r="G9" s="8">
        <v>1519</v>
      </c>
      <c r="H9" s="8">
        <v>23587</v>
      </c>
      <c r="I9" s="8">
        <v>3500</v>
      </c>
      <c r="J9" s="8">
        <v>12000</v>
      </c>
      <c r="K9" s="8">
        <f t="shared" si="0"/>
        <v>1085939</v>
      </c>
      <c r="L9" s="28">
        <f t="shared" si="1"/>
        <v>1062352</v>
      </c>
      <c r="M9" s="36">
        <v>8000.0000000000009</v>
      </c>
      <c r="N9" s="73" t="s">
        <v>116</v>
      </c>
      <c r="O9" s="55">
        <v>35000</v>
      </c>
      <c r="P9" s="56">
        <v>45000</v>
      </c>
    </row>
    <row r="10" spans="1:16">
      <c r="A10" s="23" t="s">
        <v>15</v>
      </c>
      <c r="B10" s="24" t="s">
        <v>27</v>
      </c>
      <c r="C10" s="7">
        <v>992501</v>
      </c>
      <c r="D10" s="8">
        <v>0</v>
      </c>
      <c r="E10" s="8">
        <v>53156</v>
      </c>
      <c r="F10" s="8">
        <v>52766</v>
      </c>
      <c r="G10" s="8">
        <v>1519</v>
      </c>
      <c r="H10" s="8">
        <v>24813</v>
      </c>
      <c r="I10" s="8">
        <v>3500</v>
      </c>
      <c r="J10" s="8">
        <v>12000</v>
      </c>
      <c r="K10" s="8">
        <f t="shared" si="0"/>
        <v>1140255</v>
      </c>
      <c r="L10" s="28">
        <f t="shared" si="1"/>
        <v>1115442</v>
      </c>
      <c r="M10" s="36">
        <v>8000.0000000000009</v>
      </c>
      <c r="N10" s="73" t="s">
        <v>116</v>
      </c>
      <c r="O10" s="55">
        <v>35000</v>
      </c>
      <c r="P10" s="56">
        <v>45000</v>
      </c>
    </row>
    <row r="11" spans="1:16">
      <c r="A11" s="23" t="s">
        <v>2</v>
      </c>
      <c r="B11" s="24" t="s">
        <v>28</v>
      </c>
      <c r="C11" s="7">
        <v>953500</v>
      </c>
      <c r="D11" s="8">
        <v>0</v>
      </c>
      <c r="E11" s="8">
        <v>51886</v>
      </c>
      <c r="F11" s="8">
        <v>51133</v>
      </c>
      <c r="G11" s="8">
        <v>1519</v>
      </c>
      <c r="H11" s="8">
        <v>23838</v>
      </c>
      <c r="I11" s="8">
        <v>3500</v>
      </c>
      <c r="J11" s="8">
        <v>12000</v>
      </c>
      <c r="K11" s="8">
        <f t="shared" si="0"/>
        <v>1097376</v>
      </c>
      <c r="L11" s="28">
        <f t="shared" si="1"/>
        <v>1073538</v>
      </c>
      <c r="M11" s="36">
        <v>18000</v>
      </c>
      <c r="N11" s="73" t="s">
        <v>121</v>
      </c>
      <c r="O11" s="55">
        <v>35000</v>
      </c>
      <c r="P11" s="56">
        <v>45000</v>
      </c>
    </row>
    <row r="12" spans="1:16">
      <c r="A12" s="23" t="s">
        <v>1</v>
      </c>
      <c r="B12" s="24" t="s">
        <v>29</v>
      </c>
      <c r="C12" s="7">
        <v>929500</v>
      </c>
      <c r="D12" s="8">
        <v>0</v>
      </c>
      <c r="E12" s="8">
        <v>51104</v>
      </c>
      <c r="F12" s="8">
        <v>51013</v>
      </c>
      <c r="G12" s="8">
        <v>1519</v>
      </c>
      <c r="H12" s="8">
        <v>23238</v>
      </c>
      <c r="I12" s="8">
        <v>3500</v>
      </c>
      <c r="J12" s="8">
        <v>12000</v>
      </c>
      <c r="K12" s="8">
        <f t="shared" si="0"/>
        <v>1071874</v>
      </c>
      <c r="L12" s="28">
        <f t="shared" si="1"/>
        <v>1048636</v>
      </c>
      <c r="M12" s="36">
        <v>18000</v>
      </c>
      <c r="N12" s="73" t="s">
        <v>121</v>
      </c>
      <c r="O12" s="55">
        <v>35000</v>
      </c>
      <c r="P12" s="56">
        <v>45000</v>
      </c>
    </row>
    <row r="13" spans="1:16">
      <c r="A13" s="23" t="s">
        <v>5</v>
      </c>
      <c r="B13" s="24" t="s">
        <v>30</v>
      </c>
      <c r="C13" s="7">
        <v>984500</v>
      </c>
      <c r="D13" s="8">
        <v>0</v>
      </c>
      <c r="E13" s="8">
        <v>52897</v>
      </c>
      <c r="F13" s="8">
        <v>52709</v>
      </c>
      <c r="G13" s="8">
        <v>1519</v>
      </c>
      <c r="H13" s="8">
        <v>24613</v>
      </c>
      <c r="I13" s="8">
        <v>3500</v>
      </c>
      <c r="J13" s="8">
        <v>12000</v>
      </c>
      <c r="K13" s="8">
        <f t="shared" si="0"/>
        <v>1131738</v>
      </c>
      <c r="L13" s="28">
        <f t="shared" si="1"/>
        <v>1107125</v>
      </c>
      <c r="M13" s="36">
        <v>8000.0000000000009</v>
      </c>
      <c r="N13" s="73" t="s">
        <v>116</v>
      </c>
      <c r="O13" s="55">
        <v>35000</v>
      </c>
      <c r="P13" s="56">
        <v>45000</v>
      </c>
    </row>
    <row r="14" spans="1:16">
      <c r="A14" s="23" t="s">
        <v>4</v>
      </c>
      <c r="B14" s="24" t="s">
        <v>32</v>
      </c>
      <c r="C14" s="7">
        <v>999499</v>
      </c>
      <c r="D14" s="8">
        <v>0</v>
      </c>
      <c r="E14" s="8">
        <v>53393</v>
      </c>
      <c r="F14" s="8">
        <v>53472</v>
      </c>
      <c r="G14" s="8">
        <v>1519</v>
      </c>
      <c r="H14" s="8">
        <v>24987</v>
      </c>
      <c r="I14" s="8">
        <v>3500</v>
      </c>
      <c r="J14" s="8">
        <v>12000</v>
      </c>
      <c r="K14" s="8">
        <f t="shared" si="0"/>
        <v>1148370</v>
      </c>
      <c r="L14" s="28">
        <f t="shared" si="1"/>
        <v>1123383</v>
      </c>
      <c r="M14" s="36">
        <v>18000</v>
      </c>
      <c r="N14" s="73" t="s">
        <v>117</v>
      </c>
      <c r="O14" s="55">
        <v>35000</v>
      </c>
      <c r="P14" s="56">
        <v>45000</v>
      </c>
    </row>
    <row r="15" spans="1:16">
      <c r="A15" s="23" t="s">
        <v>3</v>
      </c>
      <c r="B15" s="24" t="s">
        <v>31</v>
      </c>
      <c r="C15" s="7">
        <v>951600</v>
      </c>
      <c r="D15" s="8">
        <v>0</v>
      </c>
      <c r="E15" s="8">
        <v>51953</v>
      </c>
      <c r="F15" s="8">
        <v>51036</v>
      </c>
      <c r="G15" s="8">
        <v>1519</v>
      </c>
      <c r="H15" s="8">
        <v>23790</v>
      </c>
      <c r="I15" s="8">
        <v>3500</v>
      </c>
      <c r="J15" s="8">
        <v>12000</v>
      </c>
      <c r="K15" s="8">
        <f t="shared" si="0"/>
        <v>1095398</v>
      </c>
      <c r="L15" s="28">
        <f t="shared" si="1"/>
        <v>1071608</v>
      </c>
      <c r="M15" s="36">
        <v>8000.0000000000009</v>
      </c>
      <c r="N15" s="73" t="s">
        <v>116</v>
      </c>
      <c r="O15" s="55">
        <v>35000</v>
      </c>
      <c r="P15" s="56">
        <v>45000</v>
      </c>
    </row>
    <row r="16" spans="1:16">
      <c r="A16" s="23" t="s">
        <v>6</v>
      </c>
      <c r="B16" s="24" t="s">
        <v>33</v>
      </c>
      <c r="C16" s="7">
        <v>977501</v>
      </c>
      <c r="D16" s="8">
        <v>0</v>
      </c>
      <c r="E16" s="8">
        <v>52669</v>
      </c>
      <c r="F16" s="8">
        <v>52353</v>
      </c>
      <c r="G16" s="8">
        <v>1519</v>
      </c>
      <c r="H16" s="8">
        <v>24438</v>
      </c>
      <c r="I16" s="8">
        <v>3500</v>
      </c>
      <c r="J16" s="8">
        <v>12000</v>
      </c>
      <c r="K16" s="8">
        <f t="shared" si="0"/>
        <v>1123980</v>
      </c>
      <c r="L16" s="28">
        <f t="shared" si="1"/>
        <v>1099542</v>
      </c>
      <c r="M16" s="36">
        <v>23000</v>
      </c>
      <c r="N16" s="73" t="s">
        <v>122</v>
      </c>
      <c r="O16" s="55">
        <v>35000</v>
      </c>
      <c r="P16" s="56">
        <v>45000</v>
      </c>
    </row>
    <row r="17" spans="1:16">
      <c r="A17" s="23" t="s">
        <v>8</v>
      </c>
      <c r="B17" s="24" t="s">
        <v>34</v>
      </c>
      <c r="C17" s="7">
        <v>1007500</v>
      </c>
      <c r="D17" s="8">
        <v>10075</v>
      </c>
      <c r="E17" s="8">
        <v>53650</v>
      </c>
      <c r="F17" s="8">
        <v>53879</v>
      </c>
      <c r="G17" s="8">
        <v>1519</v>
      </c>
      <c r="H17" s="8">
        <v>35263</v>
      </c>
      <c r="I17" s="8">
        <v>3500</v>
      </c>
      <c r="J17" s="8">
        <v>12000</v>
      </c>
      <c r="K17" s="8">
        <f t="shared" si="0"/>
        <v>1177386</v>
      </c>
      <c r="L17" s="28">
        <f t="shared" si="1"/>
        <v>1142123</v>
      </c>
      <c r="M17" s="36">
        <v>18000</v>
      </c>
      <c r="N17" s="73" t="s">
        <v>117</v>
      </c>
      <c r="O17" s="55">
        <v>35000</v>
      </c>
      <c r="P17" s="56">
        <v>45000</v>
      </c>
    </row>
    <row r="18" spans="1:16">
      <c r="A18" s="23" t="s">
        <v>9</v>
      </c>
      <c r="B18" s="24" t="s">
        <v>35</v>
      </c>
      <c r="C18" s="7">
        <v>1007500</v>
      </c>
      <c r="D18" s="8">
        <v>10075</v>
      </c>
      <c r="E18" s="8">
        <v>53650</v>
      </c>
      <c r="F18" s="8">
        <v>53879</v>
      </c>
      <c r="G18" s="8">
        <v>1519</v>
      </c>
      <c r="H18" s="8">
        <v>35263</v>
      </c>
      <c r="I18" s="8">
        <v>3500</v>
      </c>
      <c r="J18" s="8">
        <v>12000</v>
      </c>
      <c r="K18" s="8">
        <f t="shared" si="0"/>
        <v>1177386</v>
      </c>
      <c r="L18" s="28">
        <f t="shared" si="1"/>
        <v>1142123</v>
      </c>
      <c r="M18" s="36">
        <v>18000</v>
      </c>
      <c r="N18" s="73" t="s">
        <v>117</v>
      </c>
      <c r="O18" s="55">
        <v>35000</v>
      </c>
      <c r="P18" s="56">
        <v>45000</v>
      </c>
    </row>
    <row r="19" spans="1:16">
      <c r="A19" s="23" t="s">
        <v>7</v>
      </c>
      <c r="B19" s="24" t="s">
        <v>36</v>
      </c>
      <c r="C19" s="7">
        <v>962700</v>
      </c>
      <c r="D19" s="8">
        <v>0</v>
      </c>
      <c r="E19" s="8">
        <v>52287</v>
      </c>
      <c r="F19" s="8">
        <v>51601</v>
      </c>
      <c r="G19" s="8">
        <v>1519</v>
      </c>
      <c r="H19" s="8">
        <v>24068</v>
      </c>
      <c r="I19" s="8">
        <v>3500</v>
      </c>
      <c r="J19" s="8">
        <v>12000</v>
      </c>
      <c r="K19" s="8">
        <f t="shared" si="0"/>
        <v>1107675</v>
      </c>
      <c r="L19" s="28">
        <f t="shared" si="1"/>
        <v>1083607</v>
      </c>
      <c r="M19" s="36">
        <v>18000</v>
      </c>
      <c r="N19" s="73" t="s">
        <v>117</v>
      </c>
      <c r="O19" s="55">
        <v>35000</v>
      </c>
      <c r="P19" s="56">
        <v>45000</v>
      </c>
    </row>
    <row r="20" spans="1:16">
      <c r="A20" s="23" t="s">
        <v>86</v>
      </c>
      <c r="B20" s="24" t="s">
        <v>54</v>
      </c>
      <c r="C20" s="7">
        <v>1057499</v>
      </c>
      <c r="D20" s="8">
        <v>10575</v>
      </c>
      <c r="E20" s="8">
        <v>55280</v>
      </c>
      <c r="F20" s="8">
        <v>56421</v>
      </c>
      <c r="G20" s="8">
        <v>1519</v>
      </c>
      <c r="H20" s="8">
        <v>26437</v>
      </c>
      <c r="I20" s="8">
        <v>3500</v>
      </c>
      <c r="J20" s="8">
        <v>12000</v>
      </c>
      <c r="K20" s="8">
        <f t="shared" si="0"/>
        <v>1223231</v>
      </c>
      <c r="L20" s="28">
        <f t="shared" si="1"/>
        <v>1196794</v>
      </c>
      <c r="M20" s="36">
        <v>63000.000000000007</v>
      </c>
      <c r="N20" s="73" t="s">
        <v>115</v>
      </c>
      <c r="O20" s="55">
        <v>35000</v>
      </c>
      <c r="P20" s="56">
        <v>45000</v>
      </c>
    </row>
    <row r="21" spans="1:16">
      <c r="A21" s="23" t="s">
        <v>11</v>
      </c>
      <c r="B21" s="24" t="s">
        <v>37</v>
      </c>
      <c r="C21" s="7">
        <v>1015000</v>
      </c>
      <c r="D21" s="8">
        <v>10150</v>
      </c>
      <c r="E21" s="8">
        <v>53861</v>
      </c>
      <c r="F21" s="8">
        <v>54260</v>
      </c>
      <c r="G21" s="8">
        <v>1519</v>
      </c>
      <c r="H21" s="8">
        <v>35525</v>
      </c>
      <c r="I21" s="8">
        <v>3500</v>
      </c>
      <c r="J21" s="8">
        <v>12000</v>
      </c>
      <c r="K21" s="8">
        <f t="shared" si="0"/>
        <v>1185815</v>
      </c>
      <c r="L21" s="28">
        <f t="shared" si="1"/>
        <v>1150290</v>
      </c>
      <c r="M21" s="36">
        <v>15000</v>
      </c>
      <c r="N21" s="73" t="s">
        <v>123</v>
      </c>
      <c r="O21" s="55">
        <v>35000</v>
      </c>
      <c r="P21" s="56">
        <v>45000</v>
      </c>
    </row>
    <row r="22" spans="1:16">
      <c r="A22" s="23" t="s">
        <v>10</v>
      </c>
      <c r="B22" s="24" t="s">
        <v>38</v>
      </c>
      <c r="C22" s="7">
        <v>981800</v>
      </c>
      <c r="D22" s="8">
        <v>0</v>
      </c>
      <c r="E22" s="8">
        <v>52862</v>
      </c>
      <c r="F22" s="8">
        <v>53672</v>
      </c>
      <c r="G22" s="8">
        <v>1519</v>
      </c>
      <c r="H22" s="8">
        <v>24545</v>
      </c>
      <c r="I22" s="8">
        <v>3500</v>
      </c>
      <c r="J22" s="8">
        <v>12000</v>
      </c>
      <c r="K22" s="8">
        <f t="shared" si="0"/>
        <v>1129898</v>
      </c>
      <c r="L22" s="28">
        <f t="shared" si="1"/>
        <v>1105353</v>
      </c>
      <c r="M22" s="36">
        <v>15000</v>
      </c>
      <c r="N22" s="73" t="s">
        <v>123</v>
      </c>
      <c r="O22" s="55">
        <v>35000</v>
      </c>
      <c r="P22" s="56">
        <v>45000</v>
      </c>
    </row>
    <row r="23" spans="1:16">
      <c r="A23" s="23" t="s">
        <v>12</v>
      </c>
      <c r="B23" s="24" t="s">
        <v>39</v>
      </c>
      <c r="C23" s="7">
        <v>1038800</v>
      </c>
      <c r="D23" s="8">
        <v>10388</v>
      </c>
      <c r="E23" s="8">
        <v>54577</v>
      </c>
      <c r="F23" s="8">
        <v>55470</v>
      </c>
      <c r="G23" s="8">
        <v>1519</v>
      </c>
      <c r="H23" s="8">
        <v>36358</v>
      </c>
      <c r="I23" s="8">
        <v>3500</v>
      </c>
      <c r="J23" s="8">
        <v>12000</v>
      </c>
      <c r="K23" s="8">
        <f t="shared" si="0"/>
        <v>1212612</v>
      </c>
      <c r="L23" s="28">
        <f t="shared" si="1"/>
        <v>1176254</v>
      </c>
      <c r="M23" s="36">
        <v>15000</v>
      </c>
      <c r="N23" s="73" t="s">
        <v>123</v>
      </c>
      <c r="O23" s="55">
        <v>35000</v>
      </c>
      <c r="P23" s="56">
        <v>45000</v>
      </c>
    </row>
    <row r="24" spans="1:16">
      <c r="A24" s="23" t="s">
        <v>55</v>
      </c>
      <c r="B24" s="24" t="s">
        <v>56</v>
      </c>
      <c r="C24" s="7">
        <v>1053500</v>
      </c>
      <c r="D24" s="8">
        <v>10535</v>
      </c>
      <c r="E24" s="8">
        <v>55152</v>
      </c>
      <c r="F24" s="8">
        <v>56218</v>
      </c>
      <c r="G24" s="8">
        <v>1519</v>
      </c>
      <c r="H24" s="8">
        <v>36873</v>
      </c>
      <c r="I24" s="8">
        <v>3500</v>
      </c>
      <c r="J24" s="8">
        <v>12000</v>
      </c>
      <c r="K24" s="8">
        <f t="shared" si="0"/>
        <v>1229297</v>
      </c>
      <c r="L24" s="28">
        <f t="shared" si="1"/>
        <v>1192424</v>
      </c>
      <c r="M24" s="36">
        <v>15000</v>
      </c>
      <c r="N24" s="73" t="s">
        <v>123</v>
      </c>
      <c r="O24" s="55">
        <v>35000</v>
      </c>
      <c r="P24" s="56">
        <v>45000</v>
      </c>
    </row>
    <row r="25" spans="1:16">
      <c r="A25" s="23" t="s">
        <v>57</v>
      </c>
      <c r="B25" s="24" t="s">
        <v>58</v>
      </c>
      <c r="C25" s="7">
        <v>1021500</v>
      </c>
      <c r="D25" s="8">
        <v>10215</v>
      </c>
      <c r="E25" s="8">
        <v>54106</v>
      </c>
      <c r="F25" s="8">
        <v>55191</v>
      </c>
      <c r="G25" s="8">
        <v>1519</v>
      </c>
      <c r="H25" s="8">
        <v>35753</v>
      </c>
      <c r="I25" s="8">
        <v>3500</v>
      </c>
      <c r="J25" s="8">
        <v>12000</v>
      </c>
      <c r="K25" s="8">
        <f t="shared" si="0"/>
        <v>1193784</v>
      </c>
      <c r="L25" s="28">
        <f t="shared" si="1"/>
        <v>1158031</v>
      </c>
      <c r="M25" s="36">
        <v>15000</v>
      </c>
      <c r="N25" s="73" t="s">
        <v>123</v>
      </c>
      <c r="O25" s="55">
        <v>35000</v>
      </c>
      <c r="P25" s="56">
        <v>45000</v>
      </c>
    </row>
    <row r="26" spans="1:16">
      <c r="A26" s="23" t="s">
        <v>13</v>
      </c>
      <c r="B26" s="24" t="s">
        <v>40</v>
      </c>
      <c r="C26" s="7">
        <v>1082499</v>
      </c>
      <c r="D26" s="8">
        <v>10825</v>
      </c>
      <c r="E26" s="8">
        <v>56098</v>
      </c>
      <c r="F26" s="8">
        <v>57692</v>
      </c>
      <c r="G26" s="8">
        <v>1519</v>
      </c>
      <c r="H26" s="8">
        <v>37887</v>
      </c>
      <c r="I26" s="8">
        <v>3500</v>
      </c>
      <c r="J26" s="8">
        <v>12000</v>
      </c>
      <c r="K26" s="8">
        <f t="shared" si="0"/>
        <v>1262020</v>
      </c>
      <c r="L26" s="28">
        <f t="shared" si="1"/>
        <v>1224133</v>
      </c>
      <c r="M26" s="36">
        <v>15000</v>
      </c>
      <c r="N26" s="73" t="s">
        <v>123</v>
      </c>
      <c r="O26" s="55">
        <v>35000</v>
      </c>
      <c r="P26" s="56">
        <v>45000</v>
      </c>
    </row>
    <row r="27" spans="1:16">
      <c r="A27" s="23" t="s">
        <v>51</v>
      </c>
      <c r="B27" s="24" t="s">
        <v>52</v>
      </c>
      <c r="C27" s="7">
        <v>986500</v>
      </c>
      <c r="D27" s="8">
        <v>0</v>
      </c>
      <c r="E27" s="8">
        <v>52963</v>
      </c>
      <c r="F27" s="8">
        <v>52461</v>
      </c>
      <c r="G27" s="8">
        <v>1519</v>
      </c>
      <c r="H27" s="8">
        <v>14798</v>
      </c>
      <c r="I27" s="8">
        <v>3500</v>
      </c>
      <c r="J27" s="8">
        <v>12000</v>
      </c>
      <c r="K27" s="8">
        <f t="shared" si="0"/>
        <v>1123741</v>
      </c>
      <c r="L27" s="28">
        <f t="shared" si="1"/>
        <v>1108943</v>
      </c>
      <c r="M27" s="36">
        <v>63000.000000000007</v>
      </c>
      <c r="N27" s="73" t="s">
        <v>115</v>
      </c>
      <c r="O27" s="55">
        <v>35000</v>
      </c>
      <c r="P27" s="56">
        <v>45000</v>
      </c>
    </row>
    <row r="28" spans="1:16">
      <c r="A28" s="23" t="s">
        <v>87</v>
      </c>
      <c r="B28" s="24" t="s">
        <v>82</v>
      </c>
      <c r="C28" s="7">
        <v>987501</v>
      </c>
      <c r="D28" s="8">
        <v>0</v>
      </c>
      <c r="E28" s="8">
        <v>52996</v>
      </c>
      <c r="F28" s="8">
        <v>52512</v>
      </c>
      <c r="G28" s="8">
        <v>1519</v>
      </c>
      <c r="H28" s="8">
        <v>24688</v>
      </c>
      <c r="I28" s="8">
        <v>3500</v>
      </c>
      <c r="J28" s="8">
        <v>12000</v>
      </c>
      <c r="K28" s="8">
        <f t="shared" ref="K28:K31" si="2">SUM(C28:J28)</f>
        <v>1134716</v>
      </c>
      <c r="L28" s="28">
        <f t="shared" ref="L28:L31" si="3">K28-H28</f>
        <v>1110028</v>
      </c>
      <c r="M28" s="36">
        <v>13000</v>
      </c>
      <c r="N28" s="73" t="s">
        <v>107</v>
      </c>
      <c r="O28" s="55">
        <v>35000</v>
      </c>
      <c r="P28" s="56">
        <v>45000</v>
      </c>
    </row>
    <row r="29" spans="1:16">
      <c r="A29" s="23" t="s">
        <v>88</v>
      </c>
      <c r="B29" s="24" t="s">
        <v>83</v>
      </c>
      <c r="C29" s="7">
        <v>1011501</v>
      </c>
      <c r="D29" s="8">
        <v>10115</v>
      </c>
      <c r="E29" s="8">
        <v>53781</v>
      </c>
      <c r="F29" s="8">
        <v>53732</v>
      </c>
      <c r="G29" s="8">
        <v>1519</v>
      </c>
      <c r="H29" s="8">
        <v>35403</v>
      </c>
      <c r="I29" s="8">
        <v>3500</v>
      </c>
      <c r="J29" s="8">
        <v>12000</v>
      </c>
      <c r="K29" s="8">
        <f t="shared" si="2"/>
        <v>1181551</v>
      </c>
      <c r="L29" s="28">
        <f t="shared" si="3"/>
        <v>1146148</v>
      </c>
      <c r="M29" s="36">
        <v>13000</v>
      </c>
      <c r="N29" s="73" t="s">
        <v>107</v>
      </c>
      <c r="O29" s="55">
        <v>35000</v>
      </c>
      <c r="P29" s="56">
        <v>45000</v>
      </c>
    </row>
    <row r="30" spans="1:16">
      <c r="A30" s="23" t="s">
        <v>89</v>
      </c>
      <c r="B30" s="24" t="s">
        <v>98</v>
      </c>
      <c r="C30" s="7">
        <v>984500</v>
      </c>
      <c r="D30" s="8">
        <v>0</v>
      </c>
      <c r="E30" s="8">
        <v>52900</v>
      </c>
      <c r="F30" s="8">
        <v>52359</v>
      </c>
      <c r="G30" s="8">
        <v>1519</v>
      </c>
      <c r="H30" s="8">
        <v>24613</v>
      </c>
      <c r="I30" s="8">
        <v>3500</v>
      </c>
      <c r="J30" s="8">
        <v>12000</v>
      </c>
      <c r="K30" s="8">
        <f t="shared" si="2"/>
        <v>1131391</v>
      </c>
      <c r="L30" s="28">
        <f t="shared" si="3"/>
        <v>1106778</v>
      </c>
      <c r="M30" s="36">
        <v>8000.0000000000009</v>
      </c>
      <c r="N30" s="73" t="s">
        <v>116</v>
      </c>
      <c r="O30" s="55">
        <v>35000</v>
      </c>
      <c r="P30" s="56">
        <v>45000</v>
      </c>
    </row>
    <row r="31" spans="1:16">
      <c r="A31" s="23" t="s">
        <v>97</v>
      </c>
      <c r="B31" s="24" t="s">
        <v>99</v>
      </c>
      <c r="C31" s="7">
        <v>1011500</v>
      </c>
      <c r="D31" s="8">
        <v>10115</v>
      </c>
      <c r="E31" s="8">
        <v>53781</v>
      </c>
      <c r="F31" s="8">
        <v>53732</v>
      </c>
      <c r="G31" s="8">
        <v>1519</v>
      </c>
      <c r="H31" s="8">
        <v>35403</v>
      </c>
      <c r="I31" s="8">
        <v>3500</v>
      </c>
      <c r="J31" s="8">
        <v>12000</v>
      </c>
      <c r="K31" s="8">
        <f t="shared" si="2"/>
        <v>1181550</v>
      </c>
      <c r="L31" s="28">
        <f t="shared" si="3"/>
        <v>1146147</v>
      </c>
      <c r="M31" s="36">
        <v>8000.0000000000009</v>
      </c>
      <c r="N31" s="73" t="s">
        <v>116</v>
      </c>
      <c r="O31" s="55">
        <v>35000</v>
      </c>
      <c r="P31" s="56">
        <v>45000</v>
      </c>
    </row>
    <row r="32" spans="1:16">
      <c r="A32" s="23" t="s">
        <v>90</v>
      </c>
      <c r="B32" s="24" t="s">
        <v>100</v>
      </c>
      <c r="C32" s="7">
        <v>910500</v>
      </c>
      <c r="D32" s="8">
        <v>0</v>
      </c>
      <c r="E32" s="8">
        <v>50483</v>
      </c>
      <c r="F32" s="8">
        <v>48597</v>
      </c>
      <c r="G32" s="8">
        <v>1519</v>
      </c>
      <c r="H32" s="8">
        <v>22763</v>
      </c>
      <c r="I32" s="8">
        <v>3500</v>
      </c>
      <c r="J32" s="8">
        <v>12000</v>
      </c>
      <c r="K32" s="8">
        <f t="shared" si="0"/>
        <v>1049362</v>
      </c>
      <c r="L32" s="28">
        <f t="shared" si="1"/>
        <v>1026599</v>
      </c>
      <c r="M32" s="36">
        <v>13000</v>
      </c>
      <c r="N32" s="73" t="s">
        <v>107</v>
      </c>
      <c r="O32" s="55">
        <v>35000</v>
      </c>
      <c r="P32" s="56">
        <v>45000</v>
      </c>
    </row>
    <row r="33" spans="1:16">
      <c r="A33" s="23" t="s">
        <v>91</v>
      </c>
      <c r="B33" s="24" t="s">
        <v>101</v>
      </c>
      <c r="C33" s="7">
        <v>948501</v>
      </c>
      <c r="D33" s="8">
        <v>0</v>
      </c>
      <c r="E33" s="8">
        <v>51723</v>
      </c>
      <c r="F33" s="8">
        <v>50529</v>
      </c>
      <c r="G33" s="8">
        <v>1519</v>
      </c>
      <c r="H33" s="8">
        <v>23713</v>
      </c>
      <c r="I33" s="8">
        <v>3500</v>
      </c>
      <c r="J33" s="8">
        <v>12000</v>
      </c>
      <c r="K33" s="8">
        <f t="shared" si="0"/>
        <v>1091485</v>
      </c>
      <c r="L33" s="28">
        <f t="shared" si="1"/>
        <v>1067772</v>
      </c>
      <c r="M33" s="36">
        <v>13000</v>
      </c>
      <c r="N33" s="73" t="s">
        <v>107</v>
      </c>
      <c r="O33" s="55">
        <v>35000</v>
      </c>
      <c r="P33" s="56">
        <v>45000</v>
      </c>
    </row>
    <row r="34" spans="1:16">
      <c r="A34" s="23" t="s">
        <v>92</v>
      </c>
      <c r="B34" s="24" t="s">
        <v>102</v>
      </c>
      <c r="C34" s="7">
        <v>997500</v>
      </c>
      <c r="D34" s="8">
        <v>0</v>
      </c>
      <c r="E34" s="8">
        <v>53373</v>
      </c>
      <c r="F34" s="8">
        <v>53020</v>
      </c>
      <c r="G34" s="8">
        <v>1519</v>
      </c>
      <c r="H34" s="8">
        <v>24938</v>
      </c>
      <c r="I34" s="8">
        <v>3500</v>
      </c>
      <c r="J34" s="8">
        <v>12000</v>
      </c>
      <c r="K34" s="8">
        <f t="shared" si="0"/>
        <v>1145850</v>
      </c>
      <c r="L34" s="28">
        <f t="shared" si="1"/>
        <v>1120912</v>
      </c>
      <c r="M34" s="36">
        <v>13000</v>
      </c>
      <c r="N34" s="73" t="s">
        <v>107</v>
      </c>
      <c r="O34" s="55">
        <v>35000</v>
      </c>
      <c r="P34" s="56">
        <v>45000</v>
      </c>
    </row>
    <row r="35" spans="1:16">
      <c r="A35" s="23" t="s">
        <v>93</v>
      </c>
      <c r="B35" s="24" t="s">
        <v>103</v>
      </c>
      <c r="C35" s="7">
        <v>1025501</v>
      </c>
      <c r="D35" s="8">
        <v>10255</v>
      </c>
      <c r="E35" s="8">
        <v>55167</v>
      </c>
      <c r="F35" s="8">
        <v>54444</v>
      </c>
      <c r="G35" s="8">
        <v>1519</v>
      </c>
      <c r="H35" s="8">
        <v>35893</v>
      </c>
      <c r="I35" s="8">
        <v>3500</v>
      </c>
      <c r="J35" s="8">
        <v>12000</v>
      </c>
      <c r="K35" s="8">
        <f t="shared" si="0"/>
        <v>1198279</v>
      </c>
      <c r="L35" s="28">
        <f t="shared" si="1"/>
        <v>1162386</v>
      </c>
      <c r="M35" s="36">
        <v>13000</v>
      </c>
      <c r="N35" s="73" t="s">
        <v>107</v>
      </c>
      <c r="O35" s="55">
        <v>35000</v>
      </c>
      <c r="P35" s="56">
        <v>45000</v>
      </c>
    </row>
    <row r="36" spans="1:16">
      <c r="A36" s="23" t="s">
        <v>94</v>
      </c>
      <c r="B36" s="24" t="s">
        <v>104</v>
      </c>
      <c r="C36" s="7">
        <v>1032501</v>
      </c>
      <c r="D36" s="8">
        <v>10325</v>
      </c>
      <c r="E36" s="8">
        <v>54463</v>
      </c>
      <c r="F36" s="8">
        <v>54800</v>
      </c>
      <c r="G36" s="8">
        <v>1519</v>
      </c>
      <c r="H36" s="8">
        <v>36138</v>
      </c>
      <c r="I36" s="8">
        <v>3500</v>
      </c>
      <c r="J36" s="8">
        <v>12000</v>
      </c>
      <c r="K36" s="8">
        <f t="shared" si="0"/>
        <v>1205246</v>
      </c>
      <c r="L36" s="28">
        <f t="shared" si="1"/>
        <v>1169108</v>
      </c>
      <c r="M36" s="36">
        <v>13000</v>
      </c>
      <c r="N36" s="73" t="s">
        <v>107</v>
      </c>
      <c r="O36" s="55">
        <v>35000</v>
      </c>
      <c r="P36" s="56">
        <v>45000</v>
      </c>
    </row>
    <row r="37" spans="1:16">
      <c r="A37" s="23" t="s">
        <v>95</v>
      </c>
      <c r="B37" s="24" t="s">
        <v>105</v>
      </c>
      <c r="C37" s="7">
        <v>1037501</v>
      </c>
      <c r="D37" s="8">
        <v>10375</v>
      </c>
      <c r="E37" s="8">
        <v>54629</v>
      </c>
      <c r="F37" s="8">
        <v>55054</v>
      </c>
      <c r="G37" s="8">
        <v>1519</v>
      </c>
      <c r="H37" s="8">
        <v>36313</v>
      </c>
      <c r="I37" s="8">
        <v>3500</v>
      </c>
      <c r="J37" s="8">
        <v>12000</v>
      </c>
      <c r="K37" s="8">
        <f t="shared" si="0"/>
        <v>1210891</v>
      </c>
      <c r="L37" s="28">
        <f t="shared" si="1"/>
        <v>1174578</v>
      </c>
      <c r="M37" s="36">
        <v>13000</v>
      </c>
      <c r="N37" s="73" t="s">
        <v>107</v>
      </c>
      <c r="O37" s="55">
        <v>35000</v>
      </c>
      <c r="P37" s="56">
        <v>45000</v>
      </c>
    </row>
    <row r="38" spans="1:16">
      <c r="A38" s="23" t="s">
        <v>96</v>
      </c>
      <c r="B38" s="24" t="s">
        <v>106</v>
      </c>
      <c r="C38" s="7">
        <v>1062501</v>
      </c>
      <c r="D38" s="8">
        <v>10625</v>
      </c>
      <c r="E38" s="8">
        <v>55446</v>
      </c>
      <c r="F38" s="8">
        <v>56325</v>
      </c>
      <c r="G38" s="8">
        <v>1519</v>
      </c>
      <c r="H38" s="8">
        <v>37188</v>
      </c>
      <c r="I38" s="8">
        <v>3500</v>
      </c>
      <c r="J38" s="8">
        <v>12000</v>
      </c>
      <c r="K38" s="8">
        <f t="shared" si="0"/>
        <v>1239104</v>
      </c>
      <c r="L38" s="28">
        <f t="shared" si="1"/>
        <v>1201916</v>
      </c>
      <c r="M38" s="36">
        <v>13000</v>
      </c>
      <c r="N38" s="73" t="s">
        <v>107</v>
      </c>
      <c r="O38" s="55">
        <v>35000</v>
      </c>
      <c r="P38" s="56">
        <v>45000</v>
      </c>
    </row>
  </sheetData>
  <autoFilter ref="A2:P38" xr:uid="{8B23E6FD-7762-4C22-90E4-A9620B029028}"/>
  <mergeCells count="4">
    <mergeCell ref="C1:L1"/>
    <mergeCell ref="A1:B1"/>
    <mergeCell ref="M1:N1"/>
    <mergeCell ref="O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D76A-B490-420B-BAEB-D8ED77990FC7}">
  <sheetPr codeName="Sheet3"/>
  <dimension ref="A1:E44"/>
  <sheetViews>
    <sheetView workbookViewId="0"/>
  </sheetViews>
  <sheetFormatPr defaultRowHeight="15"/>
  <cols>
    <col min="1" max="1" width="44.85546875" bestFit="1" customWidth="1"/>
    <col min="2" max="2" width="20" customWidth="1"/>
    <col min="3" max="3" width="22" customWidth="1"/>
    <col min="5" max="5" width="12.7109375" customWidth="1"/>
  </cols>
  <sheetData>
    <row r="1" spans="1:5">
      <c r="A1" s="4" t="s">
        <v>42</v>
      </c>
      <c r="C1" s="1" t="s">
        <v>0</v>
      </c>
      <c r="E1" s="33" t="s">
        <v>118</v>
      </c>
    </row>
    <row r="2" spans="1:5">
      <c r="A2" s="2" t="s">
        <v>20</v>
      </c>
      <c r="C2" t="str" cm="1">
        <f t="array" ref="C2">TRANSPOSE(_xlfn._xlws.SORT(_xlfn._xlws.FILTER(Vehicle_Model[Variant],ISNUMBER(SEARCH(Report!D3,Vehicle_Model[Variant])),"Not Found")))</f>
        <v>MAXX CITY 1.3 LX BS6.2</v>
      </c>
    </row>
    <row r="3" spans="1:5">
      <c r="A3" s="2" t="s">
        <v>21</v>
      </c>
    </row>
    <row r="4" spans="1:5">
      <c r="A4" s="2" t="s">
        <v>22</v>
      </c>
    </row>
    <row r="5" spans="1:5">
      <c r="A5" s="2" t="s">
        <v>23</v>
      </c>
    </row>
    <row r="6" spans="1:5">
      <c r="A6" s="2" t="s">
        <v>24</v>
      </c>
    </row>
    <row r="7" spans="1:5">
      <c r="A7" s="2" t="s">
        <v>25</v>
      </c>
    </row>
    <row r="8" spans="1:5">
      <c r="A8" s="2" t="s">
        <v>26</v>
      </c>
    </row>
    <row r="9" spans="1:5">
      <c r="A9" s="2" t="s">
        <v>27</v>
      </c>
    </row>
    <row r="10" spans="1:5">
      <c r="A10" s="2" t="s">
        <v>28</v>
      </c>
    </row>
    <row r="11" spans="1:5">
      <c r="A11" s="2" t="s">
        <v>29</v>
      </c>
    </row>
    <row r="12" spans="1:5">
      <c r="A12" s="2" t="s">
        <v>30</v>
      </c>
    </row>
    <row r="13" spans="1:5">
      <c r="A13" s="2" t="s">
        <v>32</v>
      </c>
    </row>
    <row r="14" spans="1:5">
      <c r="A14" s="2" t="s">
        <v>31</v>
      </c>
    </row>
    <row r="15" spans="1:5">
      <c r="A15" s="2" t="s">
        <v>33</v>
      </c>
    </row>
    <row r="16" spans="1:5">
      <c r="A16" s="2" t="s">
        <v>34</v>
      </c>
    </row>
    <row r="17" spans="1:1">
      <c r="A17" s="2" t="s">
        <v>35</v>
      </c>
    </row>
    <row r="18" spans="1:1">
      <c r="A18" s="2" t="s">
        <v>36</v>
      </c>
    </row>
    <row r="19" spans="1:1">
      <c r="A19" s="2" t="s">
        <v>54</v>
      </c>
    </row>
    <row r="20" spans="1:1">
      <c r="A20" s="2" t="s">
        <v>37</v>
      </c>
    </row>
    <row r="21" spans="1:1">
      <c r="A21" s="2" t="s">
        <v>38</v>
      </c>
    </row>
    <row r="22" spans="1:1">
      <c r="A22" s="2" t="s">
        <v>39</v>
      </c>
    </row>
    <row r="23" spans="1:1">
      <c r="A23" s="2" t="s">
        <v>56</v>
      </c>
    </row>
    <row r="24" spans="1:1">
      <c r="A24" s="2" t="s">
        <v>58</v>
      </c>
    </row>
    <row r="25" spans="1:1">
      <c r="A25" s="2" t="s">
        <v>40</v>
      </c>
    </row>
    <row r="26" spans="1:1">
      <c r="A26" s="2" t="s">
        <v>52</v>
      </c>
    </row>
    <row r="27" spans="1:1">
      <c r="A27" s="2" t="s">
        <v>82</v>
      </c>
    </row>
    <row r="28" spans="1:1">
      <c r="A28" s="2" t="s">
        <v>83</v>
      </c>
    </row>
    <row r="29" spans="1:1">
      <c r="A29" s="2" t="s">
        <v>98</v>
      </c>
    </row>
    <row r="30" spans="1:1">
      <c r="A30" s="2" t="s">
        <v>99</v>
      </c>
    </row>
    <row r="31" spans="1:1">
      <c r="A31" s="2" t="s">
        <v>100</v>
      </c>
    </row>
    <row r="32" spans="1:1">
      <c r="A32" s="2" t="s">
        <v>101</v>
      </c>
    </row>
    <row r="33" spans="1:1">
      <c r="A33" s="2" t="s">
        <v>102</v>
      </c>
    </row>
    <row r="34" spans="1:1">
      <c r="A34" s="2" t="s">
        <v>103</v>
      </c>
    </row>
    <row r="35" spans="1:1">
      <c r="A35" s="2" t="s">
        <v>104</v>
      </c>
    </row>
    <row r="36" spans="1:1">
      <c r="A36" s="2" t="s">
        <v>105</v>
      </c>
    </row>
    <row r="37" spans="1:1">
      <c r="A37" s="2" t="s">
        <v>106</v>
      </c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EDED336F4AC345937821C4378B0575" ma:contentTypeVersion="13" ma:contentTypeDescription="Ein neues Dokument erstellen." ma:contentTypeScope="" ma:versionID="494f29b6abfd1a658fb4a91257319fb7">
  <xsd:schema xmlns:xsd="http://www.w3.org/2001/XMLSchema" xmlns:xs="http://www.w3.org/2001/XMLSchema" xmlns:p="http://schemas.microsoft.com/office/2006/metadata/properties" xmlns:ns3="cc81ea25-3c65-47fe-b799-37236d34457b" xmlns:ns4="3aa501bf-b653-40a4-9ae9-61a4d1229c70" targetNamespace="http://schemas.microsoft.com/office/2006/metadata/properties" ma:root="true" ma:fieldsID="79a9a6d6e67940bfc0c15f927b8771f4" ns3:_="" ns4:_="">
    <xsd:import namespace="cc81ea25-3c65-47fe-b799-37236d34457b"/>
    <xsd:import namespace="3aa501bf-b653-40a4-9ae9-61a4d1229c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1ea25-3c65-47fe-b799-37236d344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501bf-b653-40a4-9ae9-61a4d1229c7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0AA7BD-7B6E-43C6-AED0-1E579093AA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62C800-B5CF-4467-9EC7-2088426858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B08E05-D3E6-4391-8AA6-C9B1EA9A23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1ea25-3c65-47fe-b799-37236d34457b"/>
    <ds:schemaRef ds:uri="3aa501bf-b653-40a4-9ae9-61a4d1229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Sheet1</vt:lpstr>
      <vt:lpstr>MasterData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Nishal Modi</dc:creator>
  <cp:keywords/>
  <dc:description/>
  <cp:lastModifiedBy>Administrator</cp:lastModifiedBy>
  <cp:revision/>
  <dcterms:created xsi:type="dcterms:W3CDTF">2018-12-17T09:59:10Z</dcterms:created>
  <dcterms:modified xsi:type="dcterms:W3CDTF">2026-06-04T12:07:14Z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0x01010060EDED336F4AC345937821C4378B0575</vt:lpwstr>
  </property>
</Properties>
</file>