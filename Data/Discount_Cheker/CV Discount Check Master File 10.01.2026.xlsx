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isha\Downloads\"/>
    </mc:Choice>
  </mc:AlternateContent>
  <xr:revisionPtr revIDLastSave="0" documentId="13_ncr:1_{C21C84B5-E4A1-4A7D-98B1-4D53E5636C68}" xr6:coauthVersionLast="47" xr6:coauthVersionMax="47" xr10:uidLastSave="{00000000-0000-0000-0000-000000000000}"/>
  <bookViews>
    <workbookView xWindow="-120" yWindow="-120" windowWidth="20730" windowHeight="11160" activeTab="1" xr2:uid="{9C2300AC-C402-454B-B7CF-00A24C218261}"/>
  </bookViews>
  <sheets>
    <sheet name="Report" sheetId="1" r:id="rId1"/>
    <sheet name="Sheet1" sheetId="4" r:id="rId2"/>
    <sheet name="MasterData" sheetId="2" r:id="rId3"/>
  </sheets>
  <definedNames>
    <definedName name="_xlnm._FilterDatabase" localSheetId="1" hidden="1">Sheet1!$A$2:$T$36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4" l="1"/>
  <c r="L36" i="4" s="1"/>
  <c r="K35" i="4"/>
  <c r="L35" i="4" s="1"/>
  <c r="K34" i="4"/>
  <c r="L34" i="4" s="1"/>
  <c r="K33" i="4"/>
  <c r="L33" i="4" s="1"/>
  <c r="K32" i="4"/>
  <c r="L32" i="4" s="1"/>
  <c r="K31" i="4"/>
  <c r="L31" i="4" s="1"/>
  <c r="K30" i="4"/>
  <c r="L30" i="4" s="1"/>
  <c r="K29" i="4"/>
  <c r="L29" i="4" s="1"/>
  <c r="K28" i="4"/>
  <c r="L28" i="4" s="1"/>
  <c r="K27" i="4"/>
  <c r="L27" i="4" s="1"/>
  <c r="K26" i="4"/>
  <c r="L26" i="4" s="1"/>
  <c r="K25" i="4"/>
  <c r="L25" i="4" s="1"/>
  <c r="K24" i="4"/>
  <c r="L24" i="4" s="1"/>
  <c r="K23" i="4"/>
  <c r="L23" i="4" s="1"/>
  <c r="K22" i="4"/>
  <c r="L22" i="4" s="1"/>
  <c r="K21" i="4"/>
  <c r="L21" i="4" s="1"/>
  <c r="K20" i="4"/>
  <c r="L20" i="4" s="1"/>
  <c r="K19" i="4"/>
  <c r="L19" i="4" s="1"/>
  <c r="K18" i="4"/>
  <c r="L18" i="4" s="1"/>
  <c r="K17" i="4"/>
  <c r="L17" i="4" s="1"/>
  <c r="K16" i="4"/>
  <c r="L16" i="4" s="1"/>
  <c r="K15" i="4"/>
  <c r="L15" i="4" s="1"/>
  <c r="K14" i="4"/>
  <c r="L14" i="4" s="1"/>
  <c r="K13" i="4"/>
  <c r="L13" i="4" s="1"/>
  <c r="K12" i="4"/>
  <c r="L12" i="4" s="1"/>
  <c r="K11" i="4"/>
  <c r="L11" i="4" s="1"/>
  <c r="K10" i="4"/>
  <c r="L10" i="4" s="1"/>
  <c r="K9" i="4"/>
  <c r="L9" i="4" s="1"/>
  <c r="K8" i="4"/>
  <c r="L8" i="4" s="1"/>
  <c r="K7" i="4"/>
  <c r="L7" i="4" s="1"/>
  <c r="K6" i="4"/>
  <c r="L6" i="4" s="1"/>
  <c r="K5" i="4"/>
  <c r="L5" i="4" s="1"/>
  <c r="K4" i="4"/>
  <c r="L4" i="4" s="1"/>
  <c r="L3" i="4"/>
  <c r="K3" i="4"/>
  <c r="D5" i="1" l="1"/>
  <c r="D22" i="1"/>
  <c r="D21" i="1"/>
  <c r="D20" i="1"/>
  <c r="D16" i="1"/>
  <c r="D14" i="1"/>
  <c r="D13" i="1"/>
  <c r="D12" i="1"/>
  <c r="D11" i="1"/>
  <c r="D10" i="1"/>
  <c r="D9" i="1"/>
  <c r="D8" i="1"/>
  <c r="D7" i="1"/>
  <c r="D6" i="1"/>
  <c r="D17" i="1"/>
  <c r="D15" i="1"/>
  <c r="D19" i="1" l="1"/>
  <c r="D18" i="1"/>
  <c r="C2" i="2" a="1"/>
  <c r="C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<sst xmlns="http://schemas.openxmlformats.org/spreadsheetml/2006/main" count="235" uniqueCount="130">
  <si>
    <t>Data Validation Prep.</t>
  </si>
  <si>
    <t>BOL MAXX PUP HD 1.7 LX CBC</t>
  </si>
  <si>
    <t>BOL MAXX PUP HD 1.7 LX</t>
  </si>
  <si>
    <t>BOL MAXX PUP HD 1.7 VXI</t>
  </si>
  <si>
    <t>BOL MAXX PUP HD 1.7 VXI AC</t>
  </si>
  <si>
    <t>BOL MAXX PUP HD 1.7 MX</t>
  </si>
  <si>
    <t>BOL MAXX PUP HD 1.7L LX</t>
  </si>
  <si>
    <t>BOL MAXX PUP HD 1.7L VXI</t>
  </si>
  <si>
    <t>BOL MAXX PUP HD 1.7L MX</t>
  </si>
  <si>
    <t>BOL MAXX PUP HD 1.7L SXI AC</t>
  </si>
  <si>
    <t>BOL MAXX PUP HD 2.0L LX CBC</t>
  </si>
  <si>
    <t>BOL MAXX PUP HD 2.0L LX</t>
  </si>
  <si>
    <t>BOL MAXX PUP HD 2.0L VXI</t>
  </si>
  <si>
    <t>BOL MAXX PUP HD 2.0L MX</t>
  </si>
  <si>
    <t>BOL MAXX PUP HD 2.0L VXI AC</t>
  </si>
  <si>
    <t>BOL MAXX PUP HD 1.3 LX</t>
  </si>
  <si>
    <t>BOL MAXX PUP HD 1.3 VXID AC</t>
  </si>
  <si>
    <t>BOL MAXX PUP CITY 1.3 LX CBC</t>
  </si>
  <si>
    <t>BOL MAXX PUP CITY 1.3 LX</t>
  </si>
  <si>
    <t>BOL MAXX PUP CITY 1.3 VXID</t>
  </si>
  <si>
    <t>BOL MAXX PUP CITY 1.3 VXID AC</t>
  </si>
  <si>
    <t>BOL MAXX PUP CITY 1.3 SXI AC</t>
  </si>
  <si>
    <t>BOL MAXX PUP CITY 1.3 MXD</t>
  </si>
  <si>
    <t>BOL MAXX PUP CITY LX CNG</t>
  </si>
  <si>
    <t>BOL PIK UP FB 1.3T - BS6.2 - PS</t>
  </si>
  <si>
    <t>BOL PIK UP FB 1.3T - BS6.2 - PS AC</t>
  </si>
  <si>
    <t>BOL CAMPER 2WD POWER STEERING BS6.2 - NEW</t>
  </si>
  <si>
    <t>BOL CAMPER 2WD POWER STEERING BS6.2 - CV</t>
  </si>
  <si>
    <t>BOL CAMPER 4WD POWER STEERING BS6.2 - NEW</t>
  </si>
  <si>
    <t>BOL CAMPER GOLD ZX 2WD BS6.2 - NEW</t>
  </si>
  <si>
    <t>MAXX CITY 1.3 LX BS6.2</t>
  </si>
  <si>
    <t>MAXX CITY 1.3 LX CBC BS6.2</t>
  </si>
  <si>
    <t>MAXX CITY 1.3 MXi BS6.2</t>
  </si>
  <si>
    <t>MAXX CITY 1.3 SXi AC - BS6.2</t>
  </si>
  <si>
    <t>MAXX CITY 1.3 VXi BS6.2</t>
  </si>
  <si>
    <t>MAXX CITY 1.3 VXi AC - BS6.2</t>
  </si>
  <si>
    <t>MAXX CITY LX CNG BS6.2</t>
  </si>
  <si>
    <t>MAXX HD 1.3 LX BS6.2</t>
  </si>
  <si>
    <t>MAXX HD 1.3 VXi AC - BS6.2</t>
  </si>
  <si>
    <t>MAXX HD 1.7 LX BS6.2</t>
  </si>
  <si>
    <t>MAXX HD 1.7 LX CBC BS6.2</t>
  </si>
  <si>
    <t>MAXX HD 1.7 MXi BS6.2</t>
  </si>
  <si>
    <t>MAXX HD 1.7 VXi BS6.2</t>
  </si>
  <si>
    <t>MAXX HD 1.7 VXi AC - BS6.2</t>
  </si>
  <si>
    <t>MAXX HD 1.7L LX BS6.2</t>
  </si>
  <si>
    <t>MAXX HD 1.7L MXi BS6.2</t>
  </si>
  <si>
    <t>MAXX HD 1.7L SXi AC - BS6.2</t>
  </si>
  <si>
    <t>MAXX HD 1.7L VXi BS6.2</t>
  </si>
  <si>
    <t>MAXX HD 2.0L LX BS6.2</t>
  </si>
  <si>
    <t>MAXX HD 2.0L LX CBC BS6.2</t>
  </si>
  <si>
    <t>MAXX HD 2.0L MXi BS6.2</t>
  </si>
  <si>
    <t>MAXX HD 2.0L VXi BS6.2</t>
  </si>
  <si>
    <t>MAXX HD 2.0L VXi AC - BS6.2</t>
  </si>
  <si>
    <t>Select Vehicle Variant</t>
  </si>
  <si>
    <t>Variant</t>
  </si>
  <si>
    <t>TCS</t>
  </si>
  <si>
    <t>MAXI CARE</t>
  </si>
  <si>
    <t>Accessories</t>
  </si>
  <si>
    <t>Vehicle Price</t>
  </si>
  <si>
    <t>Ex-Showroom Price</t>
  </si>
  <si>
    <t>VIN
2025</t>
  </si>
  <si>
    <t>VEHICLE PRICE</t>
  </si>
  <si>
    <t>BOL CAMPER GOLD VX 2WD POWER STEERING BS6.2 - CV</t>
  </si>
  <si>
    <t>Model Name</t>
  </si>
  <si>
    <t>BOL MAXX PUP HD LX CNG</t>
  </si>
  <si>
    <t>MAXX HD LX CNG BS6.2</t>
  </si>
  <si>
    <t>VIN 2024 vehicles are not part of Discount adherance</t>
  </si>
  <si>
    <t>MODEL &amp; VARIANT</t>
  </si>
  <si>
    <t>MAXX HD 1.9 Vxi CNG BS6.2</t>
  </si>
  <si>
    <t>BOL MAXX PUP HD 2.0L SXI AC</t>
  </si>
  <si>
    <t>MAXX HD 2.0L SXi AC - BS6.2</t>
  </si>
  <si>
    <t>BOL MAXX PUP HD 2.0L SXI AC CBC</t>
  </si>
  <si>
    <t>MAXX HD 2.0L SXi CBC AC - BS6.2</t>
  </si>
  <si>
    <t>Vin's Above 90 Days are open for Discount - Auditor to take Tally Stock on 5th of Every month for &gt;90 Days Stock</t>
  </si>
  <si>
    <t>There is no discount on accessories package</t>
  </si>
  <si>
    <t>Sr.</t>
  </si>
  <si>
    <t>Points</t>
  </si>
  <si>
    <t>MODEL NOT SPECIFIED</t>
  </si>
  <si>
    <t>Price will remain the same at both showrooms</t>
  </si>
  <si>
    <t>For Camper Model Insurance in house is mandatory and in case of out house Insurance only M&amp;M Consumer offer will be applicable</t>
  </si>
  <si>
    <t>Only bulk deals of 10 or more vehicles will be considered outside the cartel</t>
  </si>
  <si>
    <t>As per price list insurance is mandatory</t>
  </si>
  <si>
    <t>For vehicles where the accessories package is not free, an accessories package worth ₹12,000 will be mandatory.</t>
  </si>
  <si>
    <t>NO Additional Payout to be Passed on to DSA - Both PV &amp; CV</t>
  </si>
  <si>
    <t>NO DSA Sale on Exshowroom</t>
  </si>
  <si>
    <t>Invoice on full amount</t>
  </si>
  <si>
    <t>35K + 17K Accessories + RSA FREE</t>
  </si>
  <si>
    <t>23K + 12K Accessories + RSA FREE</t>
  </si>
  <si>
    <t>35K + 17K Accessories + RSA FREE (Same as MX)</t>
  </si>
  <si>
    <t>JAN-2026 VIN 2026</t>
  </si>
  <si>
    <t>JAN-2026  VIN 2025</t>
  </si>
  <si>
    <t>VIN 2026 Dealer Offer</t>
  </si>
  <si>
    <t>VIN 2025 Dealer Offer</t>
  </si>
  <si>
    <t>CAMPER 2WD POWER STEERING BS6.2 - CV</t>
  </si>
  <si>
    <t>CAMPER 2WD POWER STEERING BS6.2 - NEW</t>
  </si>
  <si>
    <t>CAMPER 4WD POWER STEERING BS6.2 - NEW</t>
  </si>
  <si>
    <t>CAMPER GOLD VX 2WD POWER STEERING BS6.2 - CV</t>
  </si>
  <si>
    <t>CAMPER GOLD ZX 2WD BS6.2 - NEW</t>
  </si>
  <si>
    <t>VIN 2026</t>
  </si>
  <si>
    <t>Exchange Bonus</t>
  </si>
  <si>
    <t>Scrappage Bonus</t>
  </si>
  <si>
    <t>Other Offers</t>
  </si>
  <si>
    <t>Total M&amp;M Scheme with GST (2026)</t>
  </si>
  <si>
    <t>=VLOOKUP(A3,'[CV Price List D. 09.01.2026.xlsx]Sheet1'!$B$1:$L$35,{2,3,4,5,6,7,8,9,10,11},FALSE)</t>
  </si>
  <si>
    <t>Comprehensive + Zero Dep. Insurance</t>
  </si>
  <si>
    <t>R.T.O. Charges With Hypo.</t>
  </si>
  <si>
    <t>RSA (Road Side Assistance) For 1 Year</t>
  </si>
  <si>
    <t>SMC Road - Tax (If Applicable)</t>
  </si>
  <si>
    <t>ON ROAD PRICE With SMC Road Tax</t>
  </si>
  <si>
    <t>ON ROAD PRICE Without SMC Road Tax</t>
  </si>
  <si>
    <t>M&amp;M Scheme with GST (2025)</t>
  </si>
  <si>
    <t>Dealer Contribution with GST (2025)</t>
  </si>
  <si>
    <t>Total Scheme with GST (M&amp;M + Dealer) (2025)</t>
  </si>
  <si>
    <t>38K + 17K Accessories + RSA FREE</t>
  </si>
  <si>
    <t>65K + 17K Accessories + RSA FREE</t>
  </si>
  <si>
    <t>26K + 17K Accessories + RSA FREE</t>
  </si>
  <si>
    <t>29K + 17K Accessories + RSA FREE</t>
  </si>
  <si>
    <t>25K + 17K Accessories + RSA FREE</t>
  </si>
  <si>
    <t>32K + 17K Accessories + RSA FREE</t>
  </si>
  <si>
    <t>32K + 17K Accessories + RSA FREE (Same as MX)</t>
  </si>
  <si>
    <t>23K + 17K Accessories + RSA FREE</t>
  </si>
  <si>
    <t>23K + 17K Accessories + RSA FREE (Same as VX)</t>
  </si>
  <si>
    <t>20K + 15K Accessories + RSA FREE</t>
  </si>
  <si>
    <t>30K + RSA FREE</t>
  </si>
  <si>
    <t>65K + RSA FREE</t>
  </si>
  <si>
    <t>20K + RSA FREE</t>
  </si>
  <si>
    <t>10K + RSA FREE</t>
  </si>
  <si>
    <t>15K + RSA FREE</t>
  </si>
  <si>
    <t>25K + RSA FREE</t>
  </si>
  <si>
    <t>5K + RSA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</si>
</sst>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  <font>
      <b/>
      <sz val="1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name val="Aptos Narrow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AEB"/>
        <bgColor indexed="64"/>
      </patternFill>
    </fill>
    <fill>
      <patternFill patternType="solid">
        <fgColor rgb="FF2981B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9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theme="9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theme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93">
    <xf numFmtId="0" fontId="0" fillId="0" borderId="0" xfId="0"/>
    <xf numFmtId="0" fontId="1" fillId="3" borderId="0" xfId="0" applyFont="1" applyFill="1"/>
    <xf numFmtId="0" fontId="0" fillId="0" borderId="2" xfId="0" applyBorder="1"/>
    <xf numFmtId="0" fontId="0" fillId="0" borderId="3" xfId="0" applyBorder="1"/>
    <xf numFmtId="0" fontId="6" fillId="0" borderId="1" xfId="0" applyFont="1" applyBorder="1" applyAlignment="1">
      <alignment vertical="center" wrapText="1"/>
    </xf>
    <xf numFmtId="0" fontId="9" fillId="5" borderId="4" xfId="4" applyNumberFormat="1" applyFont="1" applyFill="1" applyBorder="1" applyAlignment="1">
      <alignment horizontal="center" vertical="center" wrapText="1"/>
    </xf>
    <xf numFmtId="0" fontId="9" fillId="5" borderId="5" xfId="4" applyNumberFormat="1" applyFont="1" applyFill="1" applyBorder="1" applyAlignment="1">
      <alignment horizontal="center" vertical="center" wrapText="1"/>
    </xf>
    <xf numFmtId="43" fontId="7" fillId="6" borderId="7" xfId="4" applyFont="1" applyFill="1" applyBorder="1"/>
    <xf numFmtId="43" fontId="7" fillId="6" borderId="9" xfId="4" applyFont="1" applyFill="1" applyBorder="1"/>
    <xf numFmtId="0" fontId="0" fillId="7" borderId="0" xfId="0" applyFill="1"/>
    <xf numFmtId="0" fontId="10" fillId="7" borderId="0" xfId="0" applyFont="1" applyFill="1"/>
    <xf numFmtId="0" fontId="3" fillId="2" borderId="20" xfId="0" applyFont="1" applyFill="1" applyBorder="1" applyProtection="1">
      <protection locked="0"/>
    </xf>
    <xf numFmtId="0" fontId="7" fillId="0" borderId="0" xfId="0" applyFont="1"/>
    <xf numFmtId="0" fontId="3" fillId="9" borderId="10" xfId="0" applyFont="1" applyFill="1" applyBorder="1"/>
    <xf numFmtId="0" fontId="3" fillId="9" borderId="21" xfId="0" applyFont="1" applyFill="1" applyBorder="1"/>
    <xf numFmtId="0" fontId="3" fillId="11" borderId="18" xfId="0" applyFont="1" applyFill="1" applyBorder="1"/>
    <xf numFmtId="0" fontId="3" fillId="11" borderId="10" xfId="0" applyFont="1" applyFill="1" applyBorder="1"/>
    <xf numFmtId="43" fontId="3" fillId="11" borderId="17" xfId="4" applyFont="1" applyFill="1" applyBorder="1" applyProtection="1">
      <protection hidden="1"/>
    </xf>
    <xf numFmtId="43" fontId="3" fillId="11" borderId="11" xfId="4" applyFont="1" applyFill="1" applyBorder="1" applyAlignment="1" applyProtection="1">
      <alignment horizontal="right"/>
      <protection hidden="1"/>
    </xf>
    <xf numFmtId="43" fontId="3" fillId="11" borderId="11" xfId="4" applyFont="1" applyFill="1" applyBorder="1" applyProtection="1">
      <protection hidden="1"/>
    </xf>
    <xf numFmtId="43" fontId="3" fillId="9" borderId="11" xfId="4" applyFont="1" applyFill="1" applyBorder="1" applyProtection="1">
      <protection hidden="1"/>
    </xf>
    <xf numFmtId="43" fontId="3" fillId="9" borderId="19" xfId="4" applyFont="1" applyFill="1" applyBorder="1" applyProtection="1">
      <protection hidden="1"/>
    </xf>
    <xf numFmtId="0" fontId="6" fillId="13" borderId="7" xfId="0" applyFont="1" applyFill="1" applyBorder="1"/>
    <xf numFmtId="0" fontId="12" fillId="13" borderId="8" xfId="0" applyFont="1" applyFill="1" applyBorder="1"/>
    <xf numFmtId="0" fontId="6" fillId="13" borderId="10" xfId="0" applyFont="1" applyFill="1" applyBorder="1"/>
    <xf numFmtId="0" fontId="12" fillId="13" borderId="11" xfId="0" applyFont="1" applyFill="1" applyBorder="1"/>
    <xf numFmtId="0" fontId="6" fillId="14" borderId="4" xfId="0" applyFont="1" applyFill="1" applyBorder="1" applyAlignment="1">
      <alignment vertical="center" wrapText="1"/>
    </xf>
    <xf numFmtId="0" fontId="6" fillId="14" borderId="6" xfId="0" applyFont="1" applyFill="1" applyBorder="1" applyAlignment="1">
      <alignment vertical="center"/>
    </xf>
    <xf numFmtId="0" fontId="9" fillId="5" borderId="24" xfId="4" applyNumberFormat="1" applyFont="1" applyFill="1" applyBorder="1" applyAlignment="1">
      <alignment horizontal="center" vertical="center" wrapText="1"/>
    </xf>
    <xf numFmtId="43" fontId="7" fillId="6" borderId="25" xfId="4" applyFont="1" applyFill="1" applyBorder="1"/>
    <xf numFmtId="0" fontId="6" fillId="16" borderId="12" xfId="0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vertical="center"/>
    </xf>
    <xf numFmtId="0" fontId="13" fillId="15" borderId="12" xfId="0" applyFont="1" applyFill="1" applyBorder="1" applyAlignment="1">
      <alignment vertical="center"/>
    </xf>
    <xf numFmtId="0" fontId="6" fillId="16" borderId="12" xfId="0" applyFont="1" applyFill="1" applyBorder="1" applyAlignment="1">
      <alignment vertical="center" wrapText="1"/>
    </xf>
    <xf numFmtId="0" fontId="0" fillId="0" borderId="0" xfId="0" quotePrefix="1"/>
    <xf numFmtId="43" fontId="7" fillId="12" borderId="12" xfId="4" applyFont="1" applyFill="1" applyBorder="1"/>
    <xf numFmtId="0" fontId="9" fillId="17" borderId="27" xfId="4" applyNumberFormat="1" applyFont="1" applyFill="1" applyBorder="1" applyAlignment="1">
      <alignment horizontal="center" vertical="center" wrapText="1"/>
    </xf>
    <xf numFmtId="0" fontId="9" fillId="17" borderId="6" xfId="4" applyNumberFormat="1" applyFont="1" applyFill="1" applyBorder="1" applyAlignment="1">
      <alignment horizontal="center" vertical="center" wrapText="1"/>
    </xf>
    <xf numFmtId="43" fontId="7" fillId="12" borderId="9" xfId="4" applyFont="1" applyFill="1" applyBorder="1"/>
    <xf numFmtId="0" fontId="8" fillId="12" borderId="31" xfId="0" applyFont="1" applyFill="1" applyBorder="1" applyAlignment="1">
      <alignment horizontal="center" vertical="center" wrapText="1"/>
    </xf>
    <xf numFmtId="0" fontId="8" fillId="12" borderId="32" xfId="0" applyFont="1" applyFill="1" applyBorder="1" applyAlignment="1">
      <alignment horizontal="center" vertical="center" wrapText="1"/>
    </xf>
    <xf numFmtId="0" fontId="8" fillId="12" borderId="33" xfId="0" applyFont="1" applyFill="1" applyBorder="1" applyAlignment="1">
      <alignment horizontal="center" vertical="center" wrapText="1"/>
    </xf>
    <xf numFmtId="43" fontId="7" fillId="12" borderId="7" xfId="4" applyFont="1" applyFill="1" applyBorder="1"/>
    <xf numFmtId="0" fontId="7" fillId="12" borderId="8" xfId="4" applyNumberFormat="1" applyFont="1" applyFill="1" applyBorder="1"/>
    <xf numFmtId="43" fontId="7" fillId="12" borderId="10" xfId="4" applyFont="1" applyFill="1" applyBorder="1"/>
    <xf numFmtId="0" fontId="7" fillId="12" borderId="11" xfId="4" applyNumberFormat="1" applyFont="1" applyFill="1" applyBorder="1"/>
    <xf numFmtId="43" fontId="7" fillId="12" borderId="29" xfId="4" applyFont="1" applyFill="1" applyBorder="1"/>
    <xf numFmtId="43" fontId="7" fillId="12" borderId="30" xfId="4" applyFont="1" applyFill="1" applyBorder="1"/>
    <xf numFmtId="0" fontId="7" fillId="12" borderId="13" xfId="4" applyNumberFormat="1" applyFont="1" applyFill="1" applyBorder="1"/>
    <xf numFmtId="0" fontId="8" fillId="18" borderId="26" xfId="0" applyFont="1" applyFill="1" applyBorder="1" applyAlignment="1">
      <alignment horizontal="center" vertical="center" wrapText="1"/>
    </xf>
    <xf numFmtId="43" fontId="7" fillId="18" borderId="38" xfId="4" applyFont="1" applyFill="1" applyBorder="1"/>
    <xf numFmtId="43" fontId="7" fillId="18" borderId="39" xfId="4" applyFont="1" applyFill="1" applyBorder="1"/>
    <xf numFmtId="43" fontId="7" fillId="18" borderId="36" xfId="4" applyFont="1" applyFill="1" applyBorder="1"/>
    <xf numFmtId="43" fontId="7" fillId="8" borderId="40" xfId="4" applyFont="1" applyFill="1" applyBorder="1"/>
    <xf numFmtId="43" fontId="7" fillId="8" borderId="8" xfId="4" applyFont="1" applyFill="1" applyBorder="1"/>
    <xf numFmtId="43" fontId="7" fillId="8" borderId="15" xfId="4" applyFont="1" applyFill="1" applyBorder="1"/>
    <xf numFmtId="43" fontId="7" fillId="8" borderId="33" xfId="4" applyFont="1" applyFill="1" applyBorder="1"/>
    <xf numFmtId="0" fontId="3" fillId="19" borderId="22" xfId="0" applyFont="1" applyFill="1" applyBorder="1" applyAlignment="1">
      <alignment vertical="center"/>
    </xf>
    <xf numFmtId="43" fontId="3" fillId="19" borderId="11" xfId="4" applyFont="1" applyFill="1" applyBorder="1" applyAlignment="1" applyProtection="1">
      <protection hidden="1"/>
    </xf>
    <xf numFmtId="0" fontId="3" fillId="19" borderId="23" xfId="0" applyFont="1" applyFill="1" applyBorder="1" applyAlignment="1">
      <alignment vertical="center"/>
    </xf>
    <xf numFmtId="43" fontId="3" fillId="19" borderId="8" xfId="4" applyFont="1" applyFill="1" applyBorder="1" applyProtection="1">
      <protection hidden="1"/>
    </xf>
    <xf numFmtId="0" fontId="3" fillId="19" borderId="40" xfId="0" applyFont="1" applyFill="1" applyBorder="1"/>
    <xf numFmtId="43" fontId="3" fillId="20" borderId="17" xfId="4" applyFont="1" applyFill="1" applyBorder="1" applyProtection="1">
      <protection hidden="1"/>
    </xf>
    <xf numFmtId="43" fontId="3" fillId="20" borderId="13" xfId="4" applyFont="1" applyFill="1" applyBorder="1" applyProtection="1">
      <protection hidden="1"/>
    </xf>
    <xf numFmtId="43" fontId="3" fillId="19" borderId="19" xfId="4" applyFont="1" applyFill="1" applyBorder="1" applyAlignment="1" applyProtection="1">
      <alignment horizontal="right" vertical="center" wrapText="1"/>
      <protection hidden="1"/>
    </xf>
    <xf numFmtId="43" fontId="3" fillId="22" borderId="17" xfId="4" applyFont="1" applyFill="1" applyBorder="1" applyAlignment="1" applyProtection="1">
      <protection hidden="1"/>
    </xf>
    <xf numFmtId="43" fontId="3" fillId="22" borderId="13" xfId="4" applyFont="1" applyFill="1" applyBorder="1" applyAlignment="1" applyProtection="1">
      <protection hidden="1"/>
    </xf>
    <xf numFmtId="0" fontId="3" fillId="22" borderId="43" xfId="0" applyFont="1" applyFill="1" applyBorder="1" applyAlignment="1">
      <alignment vertical="center"/>
    </xf>
    <xf numFmtId="0" fontId="3" fillId="22" borderId="44" xfId="0" applyFont="1" applyFill="1" applyBorder="1" applyAlignment="1">
      <alignment vertical="center"/>
    </xf>
    <xf numFmtId="0" fontId="3" fillId="20" borderId="43" xfId="0" applyFont="1" applyFill="1" applyBorder="1"/>
    <xf numFmtId="0" fontId="3" fillId="20" borderId="44" xfId="0" applyFont="1" applyFill="1" applyBorder="1"/>
    <xf numFmtId="0" fontId="3" fillId="9" borderId="14" xfId="0" applyFont="1" applyFill="1" applyBorder="1" applyAlignment="1">
      <alignment horizontal="center" vertical="center" wrapText="1"/>
    </xf>
    <xf numFmtId="0" fontId="3" fillId="9" borderId="16" xfId="0" applyFont="1" applyFill="1" applyBorder="1" applyAlignment="1">
      <alignment horizontal="center" vertical="center" wrapText="1"/>
    </xf>
    <xf numFmtId="0" fontId="3" fillId="10" borderId="35" xfId="0" applyFont="1" applyFill="1" applyBorder="1" applyAlignment="1">
      <alignment horizontal="center" vertical="center" wrapText="1"/>
    </xf>
    <xf numFmtId="0" fontId="3" fillId="10" borderId="36" xfId="0" applyFont="1" applyFill="1" applyBorder="1" applyAlignment="1">
      <alignment horizontal="center" vertical="center" wrapText="1"/>
    </xf>
    <xf numFmtId="0" fontId="3" fillId="15" borderId="41" xfId="0" applyFont="1" applyFill="1" applyBorder="1" applyAlignment="1">
      <alignment horizontal="center" vertical="center" wrapText="1"/>
    </xf>
    <xf numFmtId="0" fontId="3" fillId="21" borderId="37" xfId="0" applyFont="1" applyFill="1" applyBorder="1" applyAlignment="1">
      <alignment horizontal="center" vertical="center" wrapText="1"/>
    </xf>
    <xf numFmtId="0" fontId="3" fillId="21" borderId="4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24" xfId="0" applyFont="1" applyFill="1" applyBorder="1" applyAlignment="1">
      <alignment horizontal="center"/>
    </xf>
    <xf numFmtId="0" fontId="8" fillId="8" borderId="27" xfId="0" applyFont="1" applyFill="1" applyBorder="1" applyAlignment="1">
      <alignment horizontal="center"/>
    </xf>
    <xf numFmtId="0" fontId="8" fillId="8" borderId="34" xfId="0" applyFont="1" applyFill="1" applyBorder="1" applyAlignment="1">
      <alignment horizontal="center"/>
    </xf>
    <xf numFmtId="0" fontId="11" fillId="12" borderId="27" xfId="0" applyFont="1" applyFill="1" applyBorder="1" applyAlignment="1">
      <alignment horizontal="center"/>
    </xf>
    <xf numFmtId="0" fontId="11" fillId="12" borderId="34" xfId="0" applyFont="1" applyFill="1" applyBorder="1" applyAlignment="1">
      <alignment horizontal="center"/>
    </xf>
    <xf numFmtId="0" fontId="11" fillId="12" borderId="28" xfId="0" applyFont="1" applyFill="1" applyBorder="1" applyAlignment="1">
      <alignment horizontal="center"/>
    </xf>
    <xf numFmtId="0" fontId="11" fillId="18" borderId="27" xfId="0" applyFont="1" applyFill="1" applyBorder="1" applyAlignment="1">
      <alignment horizontal="center"/>
    </xf>
    <xf numFmtId="0" fontId="11" fillId="18" borderId="28" xfId="0" applyFont="1" applyFill="1" applyBorder="1" applyAlignment="1">
      <alignment horizontal="center"/>
    </xf>
    <xf numFmtId="0" fontId="6" fillId="13" borderId="29" xfId="0" applyFont="1" applyFill="1" applyBorder="1"/>
    <xf numFmtId="0" fontId="12" fillId="13" borderId="13" xfId="0" applyFont="1" applyFill="1" applyBorder="1"/>
    <xf numFmtId="43" fontId="7" fillId="6" borderId="31" xfId="4" applyFont="1" applyFill="1" applyBorder="1"/>
    <xf numFmtId="43" fontId="7" fillId="6" borderId="32" xfId="4" applyFont="1" applyFill="1" applyBorder="1"/>
    <xf numFmtId="43" fontId="7" fillId="6" borderId="45" xfId="4" applyFont="1" applyFill="1" applyBorder="1"/>
  </cellXfs>
  <cellStyles count="5">
    <cellStyle name="Comma" xfId="4" builtinId="3"/>
    <cellStyle name="Hyperlink 2" xfId="2" xr:uid="{27EE3EE4-7E72-485A-9013-CF3915E6962D}"/>
    <cellStyle name="Hyperlink 3" xfId="3" xr:uid="{404D0859-4108-4E79-9211-21AB6A0BB793}"/>
    <cellStyle name="Normal" xfId="0" builtinId="0"/>
    <cellStyle name="Normal 2" xfId="1" xr:uid="{A53F5D57-8CD3-405C-B8DD-B76D001D1484}"/>
  </cellStyles>
  <dxfs count="5"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FAEB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4AE078-4B16-48B9-8BF3-4669B8F5320F}" name="Vehicle_Model" displayName="Vehicle_Model" ref="A1:A44" totalsRowShown="0" headerRowDxfId="4" headerRowBorderDxfId="3" tableBorderDxfId="2" totalsRowBorderDxfId="1">
  <autoFilter ref="A1:A44" xr:uid="{872D1F9E-68E2-4FA8-806D-2A1889730C7F}"/>
  <tableColumns count="1">
    <tableColumn id="1" xr3:uid="{89CC6FEA-DA6F-4E5E-BBF2-524328D29EB1}" name="Varia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7A5D-75B1-45E6-A53D-CFAC6F741ABF}">
  <sheetPr codeName="Sheet1"/>
  <dimension ref="A1:O34"/>
  <sheetViews>
    <sheetView showGridLines="0" topLeftCell="A2" zoomScaleNormal="100" workbookViewId="0">
      <selection activeCell="D3" sqref="D3"/>
    </sheetView>
  </sheetViews>
  <sheetFormatPr defaultRowHeight="15"/>
  <cols>
    <col min="2" max="2" width="12.140625" customWidth="1"/>
    <col min="3" max="3" width="47.5703125" bestFit="1" customWidth="1"/>
    <col min="4" max="4" width="60.7109375" customWidth="1"/>
    <col min="5" max="5" width="3.85546875" customWidth="1"/>
    <col min="6" max="6" width="3.140625" customWidth="1"/>
    <col min="7" max="7" width="121.140625" bestFit="1" customWidth="1"/>
  </cols>
  <sheetData>
    <row r="1" spans="1:1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6.5" thickBot="1">
      <c r="A2" s="9"/>
      <c r="B2" s="9"/>
      <c r="C2" s="9"/>
      <c r="D2" s="10" t="s">
        <v>53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ht="18.75">
      <c r="A3" s="9"/>
      <c r="B3" s="9"/>
      <c r="C3" s="9"/>
      <c r="D3" s="11" t="s">
        <v>30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5.75" thickBo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ht="18.75">
      <c r="A5" s="9"/>
      <c r="B5" s="71" t="s">
        <v>58</v>
      </c>
      <c r="C5" s="15" t="s">
        <v>59</v>
      </c>
      <c r="D5" s="17">
        <f>IFERROR(VLOOKUP($D$3,Sheet1!$B$2:$Y$45,MATCH(Report!$C5,Sheet1!$B$2:$Y$2,0),0),"")</f>
        <v>772700</v>
      </c>
      <c r="E5" s="9"/>
      <c r="F5" s="32" t="s">
        <v>75</v>
      </c>
      <c r="G5" s="32" t="s">
        <v>76</v>
      </c>
      <c r="H5" s="9"/>
      <c r="I5" s="9"/>
      <c r="J5" s="9"/>
      <c r="K5" s="9"/>
      <c r="L5" s="9"/>
      <c r="M5" s="9"/>
      <c r="N5" s="9"/>
      <c r="O5" s="9"/>
    </row>
    <row r="6" spans="1:15" ht="18.75">
      <c r="A6" s="9"/>
      <c r="B6" s="72"/>
      <c r="C6" s="16" t="s">
        <v>55</v>
      </c>
      <c r="D6" s="18">
        <f>IFERROR(VLOOKUP($D$3,Sheet1!$B$2:$Y$45,MATCH(Report!$C6,Sheet1!$B$2:$Y$2,0),0),"")</f>
        <v>0</v>
      </c>
      <c r="E6" s="9"/>
      <c r="F6" s="30">
        <v>1</v>
      </c>
      <c r="G6" s="31" t="s">
        <v>81</v>
      </c>
      <c r="H6" s="9"/>
      <c r="I6" s="9"/>
      <c r="J6" s="9"/>
      <c r="K6" s="9"/>
      <c r="L6" s="9"/>
      <c r="M6" s="9"/>
      <c r="N6" s="9"/>
      <c r="O6" s="9"/>
    </row>
    <row r="7" spans="1:15" ht="18.75">
      <c r="A7" s="9"/>
      <c r="B7" s="72"/>
      <c r="C7" s="16" t="s">
        <v>104</v>
      </c>
      <c r="D7" s="19">
        <f>IFERROR(VLOOKUP($D$3,Sheet1!$B$2:$Y$45,MATCH(Report!$C7,Sheet1!$B$2:$Y$2,0),0),"")</f>
        <v>46940</v>
      </c>
      <c r="E7" s="9"/>
      <c r="F7" s="30">
        <v>2</v>
      </c>
      <c r="G7" s="31" t="s">
        <v>74</v>
      </c>
      <c r="H7" s="9"/>
      <c r="I7" s="9"/>
      <c r="J7" s="9"/>
      <c r="K7" s="9"/>
      <c r="L7" s="9"/>
      <c r="M7" s="9"/>
      <c r="N7" s="9"/>
      <c r="O7" s="9"/>
    </row>
    <row r="8" spans="1:15" ht="18.75">
      <c r="A8" s="9"/>
      <c r="B8" s="72"/>
      <c r="C8" s="16" t="s">
        <v>105</v>
      </c>
      <c r="D8" s="19">
        <f>IFERROR(VLOOKUP($D$3,Sheet1!$B$2:$Y$45,MATCH(Report!$C8,Sheet1!$B$2:$Y$2,0),0),"")</f>
        <v>41590</v>
      </c>
      <c r="E8" s="9"/>
      <c r="F8" s="30">
        <v>3</v>
      </c>
      <c r="G8" s="33" t="s">
        <v>78</v>
      </c>
      <c r="H8" s="9"/>
      <c r="I8" s="9"/>
      <c r="J8" s="9"/>
      <c r="K8" s="9"/>
      <c r="L8" s="9"/>
      <c r="M8" s="9"/>
      <c r="N8" s="9"/>
      <c r="O8" s="9"/>
    </row>
    <row r="9" spans="1:15" ht="18.75">
      <c r="A9" s="9"/>
      <c r="B9" s="72"/>
      <c r="C9" s="16" t="s">
        <v>106</v>
      </c>
      <c r="D9" s="19">
        <f>IFERROR(VLOOKUP($D$3,Sheet1!$B$2:$Y$45,MATCH(Report!$C9,Sheet1!$B$2:$Y$2,0),0),"")</f>
        <v>1519</v>
      </c>
      <c r="E9" s="9"/>
      <c r="F9" s="30">
        <v>4</v>
      </c>
      <c r="G9" s="31" t="s">
        <v>82</v>
      </c>
      <c r="H9" s="9"/>
      <c r="I9" s="9"/>
      <c r="J9" s="9"/>
      <c r="K9" s="9"/>
      <c r="L9" s="9"/>
      <c r="M9" s="9"/>
      <c r="N9" s="9"/>
      <c r="O9" s="9"/>
    </row>
    <row r="10" spans="1:15" ht="18.75">
      <c r="A10" s="9"/>
      <c r="B10" s="72"/>
      <c r="C10" s="16" t="s">
        <v>107</v>
      </c>
      <c r="D10" s="19">
        <f>IFERROR(VLOOKUP($D$3,Sheet1!$B$2:$Y$45,MATCH(Report!$C10,Sheet1!$B$2:$Y$2,0),0),"")</f>
        <v>19318</v>
      </c>
      <c r="E10" s="9"/>
      <c r="F10" s="30">
        <v>5</v>
      </c>
      <c r="G10" s="33" t="s">
        <v>83</v>
      </c>
      <c r="H10" s="9"/>
      <c r="I10" s="9"/>
      <c r="J10" s="9"/>
      <c r="K10" s="9"/>
      <c r="L10" s="9"/>
      <c r="M10" s="9"/>
      <c r="N10" s="9"/>
      <c r="O10" s="9"/>
    </row>
    <row r="11" spans="1:15" ht="18.75">
      <c r="A11" s="9"/>
      <c r="B11" s="72"/>
      <c r="C11" s="16" t="s">
        <v>56</v>
      </c>
      <c r="D11" s="19">
        <f>IFERROR(VLOOKUP($D$3,Sheet1!$B$2:$Y$45,MATCH(Report!$C11,Sheet1!$B$2:$Y$2,0),0),"")</f>
        <v>3500</v>
      </c>
      <c r="E11" s="9"/>
      <c r="F11" s="30">
        <v>6</v>
      </c>
      <c r="G11" s="33" t="s">
        <v>84</v>
      </c>
      <c r="H11" s="9"/>
      <c r="I11" s="9"/>
      <c r="J11" s="9"/>
      <c r="K11" s="9"/>
      <c r="L11" s="9"/>
      <c r="M11" s="9"/>
      <c r="N11" s="9"/>
      <c r="O11" s="9"/>
    </row>
    <row r="12" spans="1:15" ht="18.75">
      <c r="A12" s="9"/>
      <c r="B12" s="72"/>
      <c r="C12" s="16" t="s">
        <v>57</v>
      </c>
      <c r="D12" s="19">
        <f>IFERROR(VLOOKUP($D$3,Sheet1!$B$2:$Y$45,MATCH(Report!$C12,Sheet1!$B$2:$Y$2,0),0),"")</f>
        <v>17000</v>
      </c>
      <c r="E12" s="9"/>
      <c r="F12" s="30">
        <v>7</v>
      </c>
      <c r="G12" s="31" t="s">
        <v>85</v>
      </c>
      <c r="H12" s="9"/>
      <c r="I12" s="9"/>
      <c r="J12" s="9"/>
      <c r="K12" s="9"/>
      <c r="L12" s="9"/>
      <c r="M12" s="9"/>
      <c r="N12" s="9"/>
      <c r="O12" s="9"/>
    </row>
    <row r="13" spans="1:15" ht="18.75" customHeight="1">
      <c r="A13" s="9"/>
      <c r="B13" s="72"/>
      <c r="C13" s="13" t="s">
        <v>108</v>
      </c>
      <c r="D13" s="20">
        <f>IFERROR(VLOOKUP($D$3,Sheet1!$B$2:$Y$45,MATCH(Report!$C13,Sheet1!$B$2:$Y$2,0),0),"")</f>
        <v>902567</v>
      </c>
      <c r="E13" s="9"/>
      <c r="F13" s="30">
        <v>8</v>
      </c>
      <c r="G13" s="31" t="s">
        <v>79</v>
      </c>
      <c r="H13" s="9"/>
      <c r="I13" s="9"/>
      <c r="J13" s="9"/>
      <c r="K13" s="9"/>
      <c r="L13" s="9"/>
      <c r="M13" s="9"/>
      <c r="N13" s="9"/>
      <c r="O13" s="9"/>
    </row>
    <row r="14" spans="1:15" ht="19.5" thickBot="1">
      <c r="A14" s="9"/>
      <c r="B14" s="72"/>
      <c r="C14" s="14" t="s">
        <v>109</v>
      </c>
      <c r="D14" s="21">
        <f>IFERROR(VLOOKUP($D$3,Sheet1!$B$2:$Y$45,MATCH(Report!$C14,Sheet1!$B$2:$Y$2,0),0),"")</f>
        <v>883249</v>
      </c>
      <c r="E14" s="9"/>
      <c r="F14" s="30">
        <v>9</v>
      </c>
      <c r="G14" s="31" t="s">
        <v>80</v>
      </c>
      <c r="H14" s="9"/>
      <c r="I14" s="9"/>
      <c r="J14" s="9"/>
      <c r="K14" s="9"/>
      <c r="L14" s="9"/>
      <c r="M14" s="9"/>
      <c r="N14" s="9"/>
      <c r="O14" s="9"/>
    </row>
    <row r="15" spans="1:15" ht="18.75">
      <c r="A15" s="9"/>
      <c r="B15" s="73" t="s">
        <v>98</v>
      </c>
      <c r="C15" s="69" t="s">
        <v>102</v>
      </c>
      <c r="D15" s="62">
        <f>IFERROR(VLOOKUP($D$3,Sheet1!$B$2:$Y$45,MATCH(Report!$C15,Sheet1!$B$2:$Y$2,0),0),"")</f>
        <v>30000</v>
      </c>
      <c r="E15" s="9"/>
      <c r="F15" s="30">
        <v>10</v>
      </c>
      <c r="G15" s="31" t="s">
        <v>73</v>
      </c>
      <c r="H15" s="9"/>
      <c r="I15" s="9"/>
      <c r="J15" s="9"/>
      <c r="K15" s="9"/>
      <c r="L15" s="9"/>
      <c r="M15" s="9"/>
      <c r="N15" s="9"/>
      <c r="O15" s="9"/>
    </row>
    <row r="16" spans="1:15" ht="19.5" thickBot="1">
      <c r="A16" s="9"/>
      <c r="B16" s="74"/>
      <c r="C16" s="70" t="s">
        <v>91</v>
      </c>
      <c r="D16" s="63" t="str">
        <f>IFERROR(VLOOKUP($D$3,Sheet1!$B$2:$Y$45,MATCH(Report!$C16,Sheet1!$B$2:$Y$2,0),0),"")</f>
        <v>30K + RSA FREE</v>
      </c>
      <c r="E16" s="9"/>
      <c r="F16" s="30">
        <v>11</v>
      </c>
      <c r="G16" s="31" t="s">
        <v>66</v>
      </c>
      <c r="H16" s="9"/>
      <c r="I16" s="9"/>
      <c r="J16" s="9"/>
      <c r="K16" s="9"/>
      <c r="L16" s="9"/>
      <c r="M16" s="9"/>
      <c r="N16" s="9"/>
      <c r="O16" s="9"/>
    </row>
    <row r="17" spans="1:15" ht="18.75" customHeight="1">
      <c r="A17" s="9"/>
      <c r="B17" s="75" t="s">
        <v>60</v>
      </c>
      <c r="C17" s="61" t="s">
        <v>110</v>
      </c>
      <c r="D17" s="60">
        <f>IFERROR(VLOOKUP($D$3,Sheet1!$B$2:$Y$45,MATCH(Report!$C17,Sheet1!$B$2:$Y$2,0),0),"")</f>
        <v>38000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ht="18.75">
      <c r="A18" s="9"/>
      <c r="B18" s="75"/>
      <c r="C18" s="57" t="s">
        <v>111</v>
      </c>
      <c r="D18" s="58">
        <f>IFERROR(VLOOKUP($D$3,Sheet1!$B$2:$Y$45,MATCH(Report!$C18,Sheet1!$B$2:$Y$2,0),0),"")</f>
        <v>10000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ht="18.75">
      <c r="A19" s="9"/>
      <c r="B19" s="75"/>
      <c r="C19" s="59" t="s">
        <v>112</v>
      </c>
      <c r="D19" s="58">
        <f>IFERROR(VLOOKUP($D$3,Sheet1!$B$2:$Y$45,MATCH(Report!$C19,Sheet1!$B$2:$Y$2,0),0),"")</f>
        <v>48000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ht="19.5" thickBot="1">
      <c r="A20" s="9"/>
      <c r="B20" s="75"/>
      <c r="C20" s="59" t="s">
        <v>92</v>
      </c>
      <c r="D20" s="64" t="str">
        <f>IFERROR(VLOOKUP($D$3,Sheet1!$B$2:$Y$45,MATCH(Report!$C20,Sheet1!$B$2:$Y$2,0),0),"")</f>
        <v>38K + 17K Accessories + RSA FREE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ht="18.75">
      <c r="A21" s="9"/>
      <c r="B21" s="76" t="s">
        <v>101</v>
      </c>
      <c r="C21" s="67" t="s">
        <v>99</v>
      </c>
      <c r="D21" s="65">
        <f>IFERROR(VLOOKUP($D$3,Sheet1!$B$2:$Y$45,MATCH(Report!$C21,Sheet1!$B$2:$Y$2,0),0),"")</f>
        <v>35000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ht="19.5" thickBot="1">
      <c r="A22" s="9"/>
      <c r="B22" s="77"/>
      <c r="C22" s="68" t="s">
        <v>100</v>
      </c>
      <c r="D22" s="66">
        <f>IFERROR(VLOOKUP($D$3,Sheet1!$B$2:$Y$45,MATCH(Report!$C22,Sheet1!$B$2:$Y$2,0),0),"")</f>
        <v>45000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1:1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1:1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spans="1:15">
      <c r="B34" s="9"/>
      <c r="C34" s="9"/>
      <c r="D34" s="9"/>
      <c r="F34" s="9"/>
      <c r="G34" s="9"/>
    </row>
  </sheetData>
  <sortState xmlns:xlrd2="http://schemas.microsoft.com/office/spreadsheetml/2017/richdata2" ref="F5:G12">
    <sortCondition ref="F5:F12"/>
  </sortState>
  <mergeCells count="4">
    <mergeCell ref="B5:B14"/>
    <mergeCell ref="B15:B16"/>
    <mergeCell ref="B17:B20"/>
    <mergeCell ref="B21:B22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6072EA3C-C228-4CC7-912A-B3190D504C5A}">
          <x14:formula1>
            <xm:f>_xlfn.ANCHORARRAY(MasterData!$C2)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3E6FD-7762-4C22-90E4-A9620B029028}">
  <sheetPr codeName="Sheet2"/>
  <dimension ref="A1:T36"/>
  <sheetViews>
    <sheetView tabSelected="1" workbookViewId="0">
      <selection sqref="A1:B1"/>
    </sheetView>
  </sheetViews>
  <sheetFormatPr defaultRowHeight="15"/>
  <cols>
    <col min="1" max="1" width="32.140625" style="12" customWidth="1"/>
    <col min="2" max="2" width="37.85546875" style="12" customWidth="1"/>
    <col min="3" max="3" width="13.7109375" style="12" customWidth="1"/>
    <col min="4" max="4" width="10.28515625" style="12" customWidth="1"/>
    <col min="5" max="5" width="13.7109375" style="12" customWidth="1"/>
    <col min="6" max="6" width="11.42578125" style="12" customWidth="1"/>
    <col min="7" max="7" width="11.140625" style="12" customWidth="1"/>
    <col min="8" max="13" width="13.7109375" style="12" customWidth="1"/>
    <col min="14" max="14" width="42.42578125" style="12" customWidth="1"/>
    <col min="15" max="15" width="11.7109375" style="12" customWidth="1"/>
    <col min="16" max="17" width="13" style="12" customWidth="1"/>
    <col min="18" max="18" width="42.140625" style="12" bestFit="1" customWidth="1"/>
    <col min="19" max="20" width="10.5703125" style="12" customWidth="1"/>
    <col min="21" max="16384" width="9.140625" style="12"/>
  </cols>
  <sheetData>
    <row r="1" spans="1:20" ht="15.75" thickBot="1">
      <c r="A1" s="83" t="s">
        <v>67</v>
      </c>
      <c r="B1" s="85"/>
      <c r="C1" s="78" t="s">
        <v>61</v>
      </c>
      <c r="D1" s="79"/>
      <c r="E1" s="79"/>
      <c r="F1" s="79"/>
      <c r="G1" s="79"/>
      <c r="H1" s="79"/>
      <c r="I1" s="79"/>
      <c r="J1" s="79"/>
      <c r="K1" s="79"/>
      <c r="L1" s="80"/>
      <c r="M1" s="81" t="s">
        <v>89</v>
      </c>
      <c r="N1" s="82"/>
      <c r="O1" s="83" t="s">
        <v>90</v>
      </c>
      <c r="P1" s="84"/>
      <c r="Q1" s="84"/>
      <c r="R1" s="85"/>
      <c r="S1" s="86" t="s">
        <v>101</v>
      </c>
      <c r="T1" s="87"/>
    </row>
    <row r="2" spans="1:20" ht="90.75" thickBot="1">
      <c r="A2" s="26" t="s">
        <v>63</v>
      </c>
      <c r="B2" s="27" t="s">
        <v>54</v>
      </c>
      <c r="C2" s="5" t="s">
        <v>59</v>
      </c>
      <c r="D2" s="6" t="s">
        <v>55</v>
      </c>
      <c r="E2" s="6" t="s">
        <v>104</v>
      </c>
      <c r="F2" s="6" t="s">
        <v>105</v>
      </c>
      <c r="G2" s="6" t="s">
        <v>106</v>
      </c>
      <c r="H2" s="6" t="s">
        <v>107</v>
      </c>
      <c r="I2" s="6" t="s">
        <v>56</v>
      </c>
      <c r="J2" s="6" t="s">
        <v>57</v>
      </c>
      <c r="K2" s="6" t="s">
        <v>108</v>
      </c>
      <c r="L2" s="28" t="s">
        <v>109</v>
      </c>
      <c r="M2" s="36" t="s">
        <v>102</v>
      </c>
      <c r="N2" s="37" t="s">
        <v>91</v>
      </c>
      <c r="O2" s="39" t="s">
        <v>110</v>
      </c>
      <c r="P2" s="40" t="s">
        <v>111</v>
      </c>
      <c r="Q2" s="40" t="s">
        <v>112</v>
      </c>
      <c r="R2" s="41" t="s">
        <v>92</v>
      </c>
      <c r="S2" s="49" t="s">
        <v>99</v>
      </c>
      <c r="T2" s="49" t="s">
        <v>100</v>
      </c>
    </row>
    <row r="3" spans="1:20">
      <c r="A3" s="22" t="s">
        <v>18</v>
      </c>
      <c r="B3" s="23" t="s">
        <v>30</v>
      </c>
      <c r="C3" s="7">
        <v>772700</v>
      </c>
      <c r="D3" s="8">
        <v>0</v>
      </c>
      <c r="E3" s="8">
        <v>46940</v>
      </c>
      <c r="F3" s="8">
        <v>41590</v>
      </c>
      <c r="G3" s="8">
        <v>1519</v>
      </c>
      <c r="H3" s="8">
        <v>19318</v>
      </c>
      <c r="I3" s="8">
        <v>3500</v>
      </c>
      <c r="J3" s="8">
        <v>17000</v>
      </c>
      <c r="K3" s="8">
        <f>SUM(C3:J3)</f>
        <v>902567</v>
      </c>
      <c r="L3" s="29">
        <f>K3-H3</f>
        <v>883249</v>
      </c>
      <c r="M3" s="53">
        <v>30000</v>
      </c>
      <c r="N3" s="54" t="s">
        <v>123</v>
      </c>
      <c r="O3" s="42">
        <v>38000</v>
      </c>
      <c r="P3" s="38">
        <v>10000</v>
      </c>
      <c r="Q3" s="38">
        <v>48000</v>
      </c>
      <c r="R3" s="43" t="s">
        <v>113</v>
      </c>
      <c r="S3" s="50">
        <v>35000</v>
      </c>
      <c r="T3" s="50">
        <v>45000</v>
      </c>
    </row>
    <row r="4" spans="1:20">
      <c r="A4" s="24" t="s">
        <v>17</v>
      </c>
      <c r="B4" s="25" t="s">
        <v>31</v>
      </c>
      <c r="C4" s="7">
        <v>763499</v>
      </c>
      <c r="D4" s="8">
        <v>0</v>
      </c>
      <c r="E4" s="8">
        <v>46629</v>
      </c>
      <c r="F4" s="8">
        <v>41722</v>
      </c>
      <c r="G4" s="8">
        <v>1519</v>
      </c>
      <c r="H4" s="8">
        <v>19087</v>
      </c>
      <c r="I4" s="8">
        <v>3500</v>
      </c>
      <c r="J4" s="8">
        <v>17000</v>
      </c>
      <c r="K4" s="8">
        <f t="shared" ref="K4:K36" si="0">SUM(C4:J4)</f>
        <v>892956</v>
      </c>
      <c r="L4" s="29">
        <f t="shared" ref="L4:L36" si="1">K4-H4</f>
        <v>873869</v>
      </c>
      <c r="M4" s="53">
        <v>30000</v>
      </c>
      <c r="N4" s="54" t="s">
        <v>123</v>
      </c>
      <c r="O4" s="44">
        <v>38000</v>
      </c>
      <c r="P4" s="35">
        <v>10000</v>
      </c>
      <c r="Q4" s="35">
        <v>48000</v>
      </c>
      <c r="R4" s="43" t="s">
        <v>113</v>
      </c>
      <c r="S4" s="51">
        <v>35000</v>
      </c>
      <c r="T4" s="51">
        <v>45000</v>
      </c>
    </row>
    <row r="5" spans="1:20">
      <c r="A5" s="24" t="s">
        <v>22</v>
      </c>
      <c r="B5" s="25" t="s">
        <v>32</v>
      </c>
      <c r="C5" s="7">
        <v>795600</v>
      </c>
      <c r="D5" s="8">
        <v>0</v>
      </c>
      <c r="E5" s="8">
        <v>47715</v>
      </c>
      <c r="F5" s="8">
        <v>42754</v>
      </c>
      <c r="G5" s="8">
        <v>1519</v>
      </c>
      <c r="H5" s="8">
        <v>19890</v>
      </c>
      <c r="I5" s="8">
        <v>3500</v>
      </c>
      <c r="J5" s="8">
        <v>17000</v>
      </c>
      <c r="K5" s="8">
        <f t="shared" si="0"/>
        <v>927978</v>
      </c>
      <c r="L5" s="29">
        <f t="shared" si="1"/>
        <v>908088</v>
      </c>
      <c r="M5" s="53">
        <v>30000</v>
      </c>
      <c r="N5" s="54" t="s">
        <v>123</v>
      </c>
      <c r="O5" s="44">
        <v>38000</v>
      </c>
      <c r="P5" s="35">
        <v>10000</v>
      </c>
      <c r="Q5" s="35">
        <v>48000</v>
      </c>
      <c r="R5" s="43" t="s">
        <v>113</v>
      </c>
      <c r="S5" s="51">
        <v>35000</v>
      </c>
      <c r="T5" s="51">
        <v>45000</v>
      </c>
    </row>
    <row r="6" spans="1:20">
      <c r="A6" s="24" t="s">
        <v>21</v>
      </c>
      <c r="B6" s="25" t="s">
        <v>33</v>
      </c>
      <c r="C6" s="7">
        <v>800199</v>
      </c>
      <c r="D6" s="8">
        <v>0</v>
      </c>
      <c r="E6" s="8">
        <v>47869</v>
      </c>
      <c r="F6" s="8">
        <v>42988</v>
      </c>
      <c r="G6" s="8">
        <v>1519</v>
      </c>
      <c r="H6" s="8">
        <v>20005</v>
      </c>
      <c r="I6" s="8">
        <v>3500</v>
      </c>
      <c r="J6" s="8">
        <v>17000</v>
      </c>
      <c r="K6" s="8">
        <f t="shared" si="0"/>
        <v>933080</v>
      </c>
      <c r="L6" s="29">
        <f t="shared" si="1"/>
        <v>913075</v>
      </c>
      <c r="M6" s="53">
        <v>30000</v>
      </c>
      <c r="N6" s="54" t="s">
        <v>123</v>
      </c>
      <c r="O6" s="44">
        <v>38000</v>
      </c>
      <c r="P6" s="35">
        <v>10000</v>
      </c>
      <c r="Q6" s="35">
        <v>48000</v>
      </c>
      <c r="R6" s="43" t="s">
        <v>113</v>
      </c>
      <c r="S6" s="51">
        <v>35000</v>
      </c>
      <c r="T6" s="51">
        <v>45000</v>
      </c>
    </row>
    <row r="7" spans="1:20">
      <c r="A7" s="24" t="s">
        <v>20</v>
      </c>
      <c r="B7" s="25" t="s">
        <v>35</v>
      </c>
      <c r="C7" s="7">
        <v>809400</v>
      </c>
      <c r="D7" s="8">
        <v>0</v>
      </c>
      <c r="E7" s="8">
        <v>48178</v>
      </c>
      <c r="F7" s="8">
        <v>43456</v>
      </c>
      <c r="G7" s="8">
        <v>1519</v>
      </c>
      <c r="H7" s="8">
        <v>20235</v>
      </c>
      <c r="I7" s="8">
        <v>3500</v>
      </c>
      <c r="J7" s="8">
        <v>17000</v>
      </c>
      <c r="K7" s="8">
        <f t="shared" si="0"/>
        <v>943288</v>
      </c>
      <c r="L7" s="29">
        <f t="shared" si="1"/>
        <v>923053</v>
      </c>
      <c r="M7" s="53">
        <v>30000</v>
      </c>
      <c r="N7" s="54" t="s">
        <v>123</v>
      </c>
      <c r="O7" s="44">
        <v>38000</v>
      </c>
      <c r="P7" s="35">
        <v>10000</v>
      </c>
      <c r="Q7" s="35">
        <v>48000</v>
      </c>
      <c r="R7" s="43" t="s">
        <v>113</v>
      </c>
      <c r="S7" s="51">
        <v>35000</v>
      </c>
      <c r="T7" s="51">
        <v>45000</v>
      </c>
    </row>
    <row r="8" spans="1:20">
      <c r="A8" s="24" t="s">
        <v>19</v>
      </c>
      <c r="B8" s="25" t="s">
        <v>34</v>
      </c>
      <c r="C8" s="7">
        <v>791000</v>
      </c>
      <c r="D8" s="8">
        <v>0</v>
      </c>
      <c r="E8" s="8">
        <v>47343</v>
      </c>
      <c r="F8" s="8">
        <v>42520</v>
      </c>
      <c r="G8" s="8">
        <v>1519</v>
      </c>
      <c r="H8" s="8">
        <v>19775</v>
      </c>
      <c r="I8" s="8">
        <v>3500</v>
      </c>
      <c r="J8" s="8">
        <v>17000</v>
      </c>
      <c r="K8" s="8">
        <f t="shared" si="0"/>
        <v>922657</v>
      </c>
      <c r="L8" s="29">
        <f t="shared" si="1"/>
        <v>902882</v>
      </c>
      <c r="M8" s="53">
        <v>30000</v>
      </c>
      <c r="N8" s="54" t="s">
        <v>123</v>
      </c>
      <c r="O8" s="44">
        <v>38000</v>
      </c>
      <c r="P8" s="35">
        <v>10000</v>
      </c>
      <c r="Q8" s="35">
        <v>48000</v>
      </c>
      <c r="R8" s="43" t="s">
        <v>113</v>
      </c>
      <c r="S8" s="51">
        <v>35000</v>
      </c>
      <c r="T8" s="51">
        <v>45000</v>
      </c>
    </row>
    <row r="9" spans="1:20">
      <c r="A9" s="24" t="s">
        <v>23</v>
      </c>
      <c r="B9" s="25" t="s">
        <v>36</v>
      </c>
      <c r="C9" s="7">
        <v>793900</v>
      </c>
      <c r="D9" s="8">
        <v>0</v>
      </c>
      <c r="E9" s="8">
        <v>47658</v>
      </c>
      <c r="F9" s="8">
        <v>42668</v>
      </c>
      <c r="G9" s="8">
        <v>1519</v>
      </c>
      <c r="H9" s="8">
        <v>11908</v>
      </c>
      <c r="I9" s="8">
        <v>3500</v>
      </c>
      <c r="J9" s="8">
        <v>17000</v>
      </c>
      <c r="K9" s="8">
        <f t="shared" si="0"/>
        <v>918153</v>
      </c>
      <c r="L9" s="29">
        <f t="shared" si="1"/>
        <v>906245</v>
      </c>
      <c r="M9" s="53">
        <v>65000</v>
      </c>
      <c r="N9" s="54" t="s">
        <v>124</v>
      </c>
      <c r="O9" s="44">
        <v>65000</v>
      </c>
      <c r="P9" s="35">
        <v>10000</v>
      </c>
      <c r="Q9" s="35">
        <v>75000</v>
      </c>
      <c r="R9" s="45" t="s">
        <v>114</v>
      </c>
      <c r="S9" s="51">
        <v>35000</v>
      </c>
      <c r="T9" s="51">
        <v>45000</v>
      </c>
    </row>
    <row r="10" spans="1:20">
      <c r="A10" s="24" t="s">
        <v>15</v>
      </c>
      <c r="B10" s="25" t="s">
        <v>37</v>
      </c>
      <c r="C10" s="7">
        <v>916700</v>
      </c>
      <c r="D10" s="8">
        <v>0</v>
      </c>
      <c r="E10" s="8">
        <v>50714</v>
      </c>
      <c r="F10" s="8">
        <v>48912</v>
      </c>
      <c r="G10" s="8">
        <v>1519</v>
      </c>
      <c r="H10" s="8">
        <v>22918</v>
      </c>
      <c r="I10" s="8">
        <v>3500</v>
      </c>
      <c r="J10" s="8">
        <v>12000</v>
      </c>
      <c r="K10" s="8">
        <f t="shared" si="0"/>
        <v>1056263</v>
      </c>
      <c r="L10" s="29">
        <f t="shared" si="1"/>
        <v>1033345</v>
      </c>
      <c r="M10" s="53">
        <v>10000</v>
      </c>
      <c r="N10" s="54" t="s">
        <v>77</v>
      </c>
      <c r="O10" s="44">
        <v>23000</v>
      </c>
      <c r="P10" s="35">
        <v>5000</v>
      </c>
      <c r="Q10" s="35">
        <v>28000</v>
      </c>
      <c r="R10" s="45" t="s">
        <v>77</v>
      </c>
      <c r="S10" s="51">
        <v>35000</v>
      </c>
      <c r="T10" s="51">
        <v>45000</v>
      </c>
    </row>
    <row r="11" spans="1:20">
      <c r="A11" s="24" t="s">
        <v>16</v>
      </c>
      <c r="B11" s="25" t="s">
        <v>38</v>
      </c>
      <c r="C11" s="7">
        <v>962600</v>
      </c>
      <c r="D11" s="8">
        <v>0</v>
      </c>
      <c r="E11" s="8">
        <v>52213</v>
      </c>
      <c r="F11" s="8">
        <v>51246</v>
      </c>
      <c r="G11" s="8">
        <v>1519</v>
      </c>
      <c r="H11" s="8">
        <v>24065</v>
      </c>
      <c r="I11" s="8">
        <v>3500</v>
      </c>
      <c r="J11" s="8">
        <v>12000</v>
      </c>
      <c r="K11" s="8">
        <f t="shared" si="0"/>
        <v>1107143</v>
      </c>
      <c r="L11" s="29">
        <f t="shared" si="1"/>
        <v>1083078</v>
      </c>
      <c r="M11" s="53">
        <v>10000</v>
      </c>
      <c r="N11" s="54" t="s">
        <v>77</v>
      </c>
      <c r="O11" s="44">
        <v>28000</v>
      </c>
      <c r="P11" s="35">
        <v>5000</v>
      </c>
      <c r="Q11" s="35">
        <v>33000</v>
      </c>
      <c r="R11" s="45" t="s">
        <v>77</v>
      </c>
      <c r="S11" s="51">
        <v>35000</v>
      </c>
      <c r="T11" s="51">
        <v>45000</v>
      </c>
    </row>
    <row r="12" spans="1:20">
      <c r="A12" s="24" t="s">
        <v>2</v>
      </c>
      <c r="B12" s="25" t="s">
        <v>39</v>
      </c>
      <c r="C12" s="7">
        <v>926900</v>
      </c>
      <c r="D12" s="8">
        <v>0</v>
      </c>
      <c r="E12" s="8">
        <v>51048</v>
      </c>
      <c r="F12" s="8">
        <v>49781</v>
      </c>
      <c r="G12" s="8">
        <v>1519</v>
      </c>
      <c r="H12" s="8">
        <v>23173</v>
      </c>
      <c r="I12" s="8">
        <v>3500</v>
      </c>
      <c r="J12" s="8">
        <v>17000</v>
      </c>
      <c r="K12" s="8">
        <f t="shared" si="0"/>
        <v>1072921</v>
      </c>
      <c r="L12" s="29">
        <f t="shared" si="1"/>
        <v>1049748</v>
      </c>
      <c r="M12" s="53">
        <v>20000</v>
      </c>
      <c r="N12" s="54" t="s">
        <v>125</v>
      </c>
      <c r="O12" s="44">
        <v>26000</v>
      </c>
      <c r="P12" s="35">
        <v>5000</v>
      </c>
      <c r="Q12" s="35">
        <v>31000</v>
      </c>
      <c r="R12" s="45" t="s">
        <v>115</v>
      </c>
      <c r="S12" s="51">
        <v>35000</v>
      </c>
      <c r="T12" s="51">
        <v>45000</v>
      </c>
    </row>
    <row r="13" spans="1:20">
      <c r="A13" s="24" t="s">
        <v>1</v>
      </c>
      <c r="B13" s="25" t="s">
        <v>40</v>
      </c>
      <c r="C13" s="7">
        <v>902000</v>
      </c>
      <c r="D13" s="8">
        <v>0</v>
      </c>
      <c r="E13" s="8">
        <v>50233</v>
      </c>
      <c r="F13" s="8">
        <v>49114</v>
      </c>
      <c r="G13" s="8">
        <v>1519</v>
      </c>
      <c r="H13" s="8">
        <v>22550</v>
      </c>
      <c r="I13" s="8">
        <v>3500</v>
      </c>
      <c r="J13" s="8">
        <v>17000</v>
      </c>
      <c r="K13" s="8">
        <f t="shared" si="0"/>
        <v>1045916</v>
      </c>
      <c r="L13" s="29">
        <f t="shared" si="1"/>
        <v>1023366</v>
      </c>
      <c r="M13" s="53">
        <v>20000</v>
      </c>
      <c r="N13" s="54" t="s">
        <v>125</v>
      </c>
      <c r="O13" s="44">
        <v>26000</v>
      </c>
      <c r="P13" s="35">
        <v>5000</v>
      </c>
      <c r="Q13" s="35">
        <v>31000</v>
      </c>
      <c r="R13" s="45" t="s">
        <v>115</v>
      </c>
      <c r="S13" s="51">
        <v>35000</v>
      </c>
      <c r="T13" s="51">
        <v>45000</v>
      </c>
    </row>
    <row r="14" spans="1:20">
      <c r="A14" s="24" t="s">
        <v>5</v>
      </c>
      <c r="B14" s="25" t="s">
        <v>41</v>
      </c>
      <c r="C14" s="7">
        <v>954400</v>
      </c>
      <c r="D14" s="8">
        <v>0</v>
      </c>
      <c r="E14" s="8">
        <v>51947</v>
      </c>
      <c r="F14" s="8">
        <v>51179</v>
      </c>
      <c r="G14" s="8">
        <v>1519</v>
      </c>
      <c r="H14" s="8">
        <v>23860</v>
      </c>
      <c r="I14" s="8">
        <v>3500</v>
      </c>
      <c r="J14" s="8">
        <v>17000</v>
      </c>
      <c r="K14" s="8">
        <f t="shared" si="0"/>
        <v>1103405</v>
      </c>
      <c r="L14" s="29">
        <f t="shared" si="1"/>
        <v>1079545</v>
      </c>
      <c r="M14" s="53">
        <v>10000</v>
      </c>
      <c r="N14" s="54" t="s">
        <v>126</v>
      </c>
      <c r="O14" s="44">
        <v>35000</v>
      </c>
      <c r="P14" s="35">
        <v>5000</v>
      </c>
      <c r="Q14" s="35">
        <v>40000</v>
      </c>
      <c r="R14" s="45" t="s">
        <v>86</v>
      </c>
      <c r="S14" s="51">
        <v>35000</v>
      </c>
      <c r="T14" s="51">
        <v>45000</v>
      </c>
    </row>
    <row r="15" spans="1:20">
      <c r="A15" s="24" t="s">
        <v>4</v>
      </c>
      <c r="B15" s="25" t="s">
        <v>43</v>
      </c>
      <c r="C15" s="7">
        <v>968201</v>
      </c>
      <c r="D15" s="8">
        <v>0</v>
      </c>
      <c r="E15" s="8">
        <v>52396</v>
      </c>
      <c r="F15" s="8">
        <v>51881</v>
      </c>
      <c r="G15" s="8">
        <v>1519</v>
      </c>
      <c r="H15" s="8">
        <v>24205</v>
      </c>
      <c r="I15" s="8">
        <v>3500</v>
      </c>
      <c r="J15" s="8">
        <v>17000</v>
      </c>
      <c r="K15" s="8">
        <f t="shared" si="0"/>
        <v>1118702</v>
      </c>
      <c r="L15" s="29">
        <f t="shared" si="1"/>
        <v>1094497</v>
      </c>
      <c r="M15" s="53">
        <v>20000</v>
      </c>
      <c r="N15" s="54" t="s">
        <v>125</v>
      </c>
      <c r="O15" s="44">
        <v>29000</v>
      </c>
      <c r="P15" s="35">
        <v>5000</v>
      </c>
      <c r="Q15" s="35">
        <v>34000</v>
      </c>
      <c r="R15" s="45" t="s">
        <v>116</v>
      </c>
      <c r="S15" s="51">
        <v>35000</v>
      </c>
      <c r="T15" s="51">
        <v>45000</v>
      </c>
    </row>
    <row r="16" spans="1:20">
      <c r="A16" s="24" t="s">
        <v>3</v>
      </c>
      <c r="B16" s="25" t="s">
        <v>42</v>
      </c>
      <c r="C16" s="7">
        <v>951600</v>
      </c>
      <c r="D16" s="8">
        <v>0</v>
      </c>
      <c r="E16" s="8">
        <v>51826</v>
      </c>
      <c r="F16" s="8">
        <v>51036</v>
      </c>
      <c r="G16" s="8">
        <v>1519</v>
      </c>
      <c r="H16" s="8">
        <v>23790</v>
      </c>
      <c r="I16" s="8">
        <v>3500</v>
      </c>
      <c r="J16" s="8">
        <v>17000</v>
      </c>
      <c r="K16" s="8">
        <f t="shared" si="0"/>
        <v>1100271</v>
      </c>
      <c r="L16" s="29">
        <f t="shared" si="1"/>
        <v>1076481</v>
      </c>
      <c r="M16" s="53">
        <v>10000</v>
      </c>
      <c r="N16" s="54" t="s">
        <v>126</v>
      </c>
      <c r="O16" s="44">
        <v>35000</v>
      </c>
      <c r="P16" s="35">
        <v>5000</v>
      </c>
      <c r="Q16" s="35">
        <v>40000</v>
      </c>
      <c r="R16" s="45" t="s">
        <v>88</v>
      </c>
      <c r="S16" s="51">
        <v>35000</v>
      </c>
      <c r="T16" s="51">
        <v>45000</v>
      </c>
    </row>
    <row r="17" spans="1:20">
      <c r="A17" s="24" t="s">
        <v>6</v>
      </c>
      <c r="B17" s="25" t="s">
        <v>44</v>
      </c>
      <c r="C17" s="7">
        <v>949800</v>
      </c>
      <c r="D17" s="8">
        <v>0</v>
      </c>
      <c r="E17" s="8">
        <v>51795</v>
      </c>
      <c r="F17" s="8">
        <v>50945</v>
      </c>
      <c r="G17" s="8">
        <v>1519</v>
      </c>
      <c r="H17" s="8">
        <v>23745</v>
      </c>
      <c r="I17" s="8">
        <v>3500</v>
      </c>
      <c r="J17" s="8">
        <v>17000</v>
      </c>
      <c r="K17" s="8">
        <f t="shared" si="0"/>
        <v>1098304</v>
      </c>
      <c r="L17" s="29">
        <f t="shared" si="1"/>
        <v>1074559</v>
      </c>
      <c r="M17" s="53">
        <v>25000</v>
      </c>
      <c r="N17" s="54" t="s">
        <v>128</v>
      </c>
      <c r="O17" s="44">
        <v>29000</v>
      </c>
      <c r="P17" s="35">
        <v>5000</v>
      </c>
      <c r="Q17" s="35">
        <v>34000</v>
      </c>
      <c r="R17" s="45" t="s">
        <v>116</v>
      </c>
      <c r="S17" s="51">
        <v>35000</v>
      </c>
      <c r="T17" s="51">
        <v>45000</v>
      </c>
    </row>
    <row r="18" spans="1:20">
      <c r="A18" s="24" t="s">
        <v>8</v>
      </c>
      <c r="B18" s="25" t="s">
        <v>45</v>
      </c>
      <c r="C18" s="7">
        <v>977300</v>
      </c>
      <c r="D18" s="8">
        <v>0</v>
      </c>
      <c r="E18" s="8">
        <v>52694</v>
      </c>
      <c r="F18" s="8">
        <v>52343</v>
      </c>
      <c r="G18" s="8">
        <v>1519</v>
      </c>
      <c r="H18" s="8">
        <v>24433</v>
      </c>
      <c r="I18" s="8">
        <v>3500</v>
      </c>
      <c r="J18" s="8">
        <v>17000</v>
      </c>
      <c r="K18" s="8">
        <f t="shared" si="0"/>
        <v>1128789</v>
      </c>
      <c r="L18" s="29">
        <f t="shared" si="1"/>
        <v>1104356</v>
      </c>
      <c r="M18" s="53">
        <v>20000</v>
      </c>
      <c r="N18" s="54" t="s">
        <v>125</v>
      </c>
      <c r="O18" s="44">
        <v>32000</v>
      </c>
      <c r="P18" s="35">
        <v>5000</v>
      </c>
      <c r="Q18" s="35">
        <v>37000</v>
      </c>
      <c r="R18" s="45" t="s">
        <v>118</v>
      </c>
      <c r="S18" s="51">
        <v>35000</v>
      </c>
      <c r="T18" s="51">
        <v>45000</v>
      </c>
    </row>
    <row r="19" spans="1:20">
      <c r="A19" s="24" t="s">
        <v>9</v>
      </c>
      <c r="B19" s="25" t="s">
        <v>46</v>
      </c>
      <c r="C19" s="7">
        <v>977300</v>
      </c>
      <c r="D19" s="8">
        <v>0</v>
      </c>
      <c r="E19" s="8">
        <v>52694</v>
      </c>
      <c r="F19" s="8">
        <v>52343</v>
      </c>
      <c r="G19" s="8">
        <v>1519</v>
      </c>
      <c r="H19" s="8">
        <v>24433</v>
      </c>
      <c r="I19" s="8">
        <v>3500</v>
      </c>
      <c r="J19" s="8">
        <v>17000</v>
      </c>
      <c r="K19" s="8">
        <f t="shared" si="0"/>
        <v>1128789</v>
      </c>
      <c r="L19" s="29">
        <f t="shared" si="1"/>
        <v>1104356</v>
      </c>
      <c r="M19" s="53">
        <v>20000</v>
      </c>
      <c r="N19" s="54" t="s">
        <v>125</v>
      </c>
      <c r="O19" s="44">
        <v>25000</v>
      </c>
      <c r="P19" s="35">
        <v>5000</v>
      </c>
      <c r="Q19" s="35">
        <v>30000</v>
      </c>
      <c r="R19" s="45" t="s">
        <v>117</v>
      </c>
      <c r="S19" s="51">
        <v>35000</v>
      </c>
      <c r="T19" s="51">
        <v>45000</v>
      </c>
    </row>
    <row r="20" spans="1:20">
      <c r="A20" s="24" t="s">
        <v>7</v>
      </c>
      <c r="B20" s="25" t="s">
        <v>47</v>
      </c>
      <c r="C20" s="7">
        <v>962700</v>
      </c>
      <c r="D20" s="8">
        <v>0</v>
      </c>
      <c r="E20" s="8">
        <v>52160</v>
      </c>
      <c r="F20" s="8">
        <v>51601</v>
      </c>
      <c r="G20" s="8">
        <v>1519</v>
      </c>
      <c r="H20" s="8">
        <v>24068</v>
      </c>
      <c r="I20" s="8">
        <v>3500</v>
      </c>
      <c r="J20" s="8">
        <v>17000</v>
      </c>
      <c r="K20" s="8">
        <f t="shared" si="0"/>
        <v>1112548</v>
      </c>
      <c r="L20" s="29">
        <f t="shared" si="1"/>
        <v>1088480</v>
      </c>
      <c r="M20" s="53">
        <v>20000</v>
      </c>
      <c r="N20" s="54" t="s">
        <v>125</v>
      </c>
      <c r="O20" s="44">
        <v>32000</v>
      </c>
      <c r="P20" s="35">
        <v>5000</v>
      </c>
      <c r="Q20" s="35">
        <v>37000</v>
      </c>
      <c r="R20" s="45" t="s">
        <v>119</v>
      </c>
      <c r="S20" s="51">
        <v>35000</v>
      </c>
      <c r="T20" s="51">
        <v>45000</v>
      </c>
    </row>
    <row r="21" spans="1:20">
      <c r="A21" s="24" t="s">
        <v>68</v>
      </c>
      <c r="B21" s="25" t="s">
        <v>68</v>
      </c>
      <c r="C21" s="7">
        <v>1026900</v>
      </c>
      <c r="D21" s="8">
        <v>10269</v>
      </c>
      <c r="E21" s="8">
        <v>54318</v>
      </c>
      <c r="F21" s="8">
        <v>54865</v>
      </c>
      <c r="G21" s="8">
        <v>1519</v>
      </c>
      <c r="H21" s="8">
        <v>25673</v>
      </c>
      <c r="I21" s="8">
        <v>3500</v>
      </c>
      <c r="J21" s="8">
        <v>17000</v>
      </c>
      <c r="K21" s="8">
        <f t="shared" si="0"/>
        <v>1194044</v>
      </c>
      <c r="L21" s="29">
        <f t="shared" si="1"/>
        <v>1168371</v>
      </c>
      <c r="M21" s="53">
        <v>65000</v>
      </c>
      <c r="N21" s="54" t="s">
        <v>124</v>
      </c>
      <c r="O21" s="44">
        <v>65000</v>
      </c>
      <c r="P21" s="35">
        <v>5000</v>
      </c>
      <c r="Q21" s="35">
        <v>70000</v>
      </c>
      <c r="R21" s="45" t="s">
        <v>114</v>
      </c>
      <c r="S21" s="51">
        <v>35000</v>
      </c>
      <c r="T21" s="51">
        <v>45000</v>
      </c>
    </row>
    <row r="22" spans="1:20">
      <c r="A22" s="24" t="s">
        <v>11</v>
      </c>
      <c r="B22" s="25" t="s">
        <v>48</v>
      </c>
      <c r="C22" s="7">
        <v>1015000</v>
      </c>
      <c r="D22" s="8">
        <v>10150</v>
      </c>
      <c r="E22" s="8">
        <v>53735</v>
      </c>
      <c r="F22" s="8">
        <v>54260</v>
      </c>
      <c r="G22" s="8">
        <v>1519</v>
      </c>
      <c r="H22" s="8">
        <v>35525</v>
      </c>
      <c r="I22" s="8">
        <v>3500</v>
      </c>
      <c r="J22" s="8">
        <v>17000</v>
      </c>
      <c r="K22" s="8">
        <f t="shared" si="0"/>
        <v>1190689</v>
      </c>
      <c r="L22" s="29">
        <f t="shared" si="1"/>
        <v>1155164</v>
      </c>
      <c r="M22" s="53">
        <v>15000</v>
      </c>
      <c r="N22" s="54" t="s">
        <v>127</v>
      </c>
      <c r="O22" s="44">
        <v>24500</v>
      </c>
      <c r="P22" s="35">
        <v>5000</v>
      </c>
      <c r="Q22" s="35">
        <v>29500</v>
      </c>
      <c r="R22" s="45" t="s">
        <v>117</v>
      </c>
      <c r="S22" s="51">
        <v>35000</v>
      </c>
      <c r="T22" s="51">
        <v>45000</v>
      </c>
    </row>
    <row r="23" spans="1:20">
      <c r="A23" s="24" t="s">
        <v>10</v>
      </c>
      <c r="B23" s="25" t="s">
        <v>49</v>
      </c>
      <c r="C23" s="7">
        <v>981800</v>
      </c>
      <c r="D23" s="8">
        <v>0</v>
      </c>
      <c r="E23" s="8">
        <v>52735</v>
      </c>
      <c r="F23" s="8">
        <v>53172</v>
      </c>
      <c r="G23" s="8">
        <v>1519</v>
      </c>
      <c r="H23" s="8">
        <v>24545</v>
      </c>
      <c r="I23" s="8">
        <v>3500</v>
      </c>
      <c r="J23" s="8">
        <v>17000</v>
      </c>
      <c r="K23" s="8">
        <f t="shared" si="0"/>
        <v>1134271</v>
      </c>
      <c r="L23" s="29">
        <f t="shared" si="1"/>
        <v>1109726</v>
      </c>
      <c r="M23" s="53">
        <v>15000</v>
      </c>
      <c r="N23" s="54" t="s">
        <v>127</v>
      </c>
      <c r="O23" s="44">
        <v>24500</v>
      </c>
      <c r="P23" s="35">
        <v>5000</v>
      </c>
      <c r="Q23" s="35">
        <v>29500</v>
      </c>
      <c r="R23" s="45" t="s">
        <v>117</v>
      </c>
      <c r="S23" s="51">
        <v>35000</v>
      </c>
      <c r="T23" s="51">
        <v>45000</v>
      </c>
    </row>
    <row r="24" spans="1:20">
      <c r="A24" s="24" t="s">
        <v>13</v>
      </c>
      <c r="B24" s="25" t="s">
        <v>50</v>
      </c>
      <c r="C24" s="7">
        <v>1038800</v>
      </c>
      <c r="D24" s="8">
        <v>10388</v>
      </c>
      <c r="E24" s="8">
        <v>54451</v>
      </c>
      <c r="F24" s="8">
        <v>55470</v>
      </c>
      <c r="G24" s="8">
        <v>1519</v>
      </c>
      <c r="H24" s="8">
        <v>36358</v>
      </c>
      <c r="I24" s="8">
        <v>3500</v>
      </c>
      <c r="J24" s="8">
        <v>17000</v>
      </c>
      <c r="K24" s="8">
        <f t="shared" si="0"/>
        <v>1217486</v>
      </c>
      <c r="L24" s="29">
        <f t="shared" si="1"/>
        <v>1181128</v>
      </c>
      <c r="M24" s="53">
        <v>10000</v>
      </c>
      <c r="N24" s="54" t="s">
        <v>126</v>
      </c>
      <c r="O24" s="44">
        <v>23000</v>
      </c>
      <c r="P24" s="35">
        <v>5000</v>
      </c>
      <c r="Q24" s="35">
        <v>28000</v>
      </c>
      <c r="R24" s="45" t="s">
        <v>121</v>
      </c>
      <c r="S24" s="51">
        <v>35000</v>
      </c>
      <c r="T24" s="51">
        <v>45000</v>
      </c>
    </row>
    <row r="25" spans="1:20">
      <c r="A25" s="24" t="s">
        <v>69</v>
      </c>
      <c r="B25" s="25" t="s">
        <v>70</v>
      </c>
      <c r="C25" s="7">
        <v>1024100</v>
      </c>
      <c r="D25" s="8">
        <v>10241</v>
      </c>
      <c r="E25" s="8">
        <v>54223</v>
      </c>
      <c r="F25" s="8">
        <v>54723</v>
      </c>
      <c r="G25" s="8">
        <v>1519</v>
      </c>
      <c r="H25" s="8">
        <v>35844</v>
      </c>
      <c r="I25" s="8">
        <v>3500</v>
      </c>
      <c r="J25" s="8">
        <v>17000</v>
      </c>
      <c r="K25" s="8">
        <f t="shared" si="0"/>
        <v>1201150</v>
      </c>
      <c r="L25" s="29">
        <f t="shared" si="1"/>
        <v>1165306</v>
      </c>
      <c r="M25" s="53">
        <v>15000</v>
      </c>
      <c r="N25" s="54" t="s">
        <v>127</v>
      </c>
      <c r="O25" s="44">
        <v>24500</v>
      </c>
      <c r="P25" s="35">
        <v>5000</v>
      </c>
      <c r="Q25" s="35">
        <v>29500</v>
      </c>
      <c r="R25" s="45" t="s">
        <v>117</v>
      </c>
      <c r="S25" s="51">
        <v>35000</v>
      </c>
      <c r="T25" s="51">
        <v>45000</v>
      </c>
    </row>
    <row r="26" spans="1:20">
      <c r="A26" s="24" t="s">
        <v>71</v>
      </c>
      <c r="B26" s="25" t="s">
        <v>72</v>
      </c>
      <c r="C26" s="7">
        <v>991000</v>
      </c>
      <c r="D26" s="8">
        <v>0</v>
      </c>
      <c r="E26" s="8">
        <v>53142</v>
      </c>
      <c r="F26" s="8">
        <v>53640</v>
      </c>
      <c r="G26" s="8">
        <v>1519</v>
      </c>
      <c r="H26" s="8">
        <v>24775</v>
      </c>
      <c r="I26" s="8">
        <v>3500</v>
      </c>
      <c r="J26" s="8">
        <v>17000</v>
      </c>
      <c r="K26" s="8">
        <f t="shared" si="0"/>
        <v>1144576</v>
      </c>
      <c r="L26" s="29">
        <f t="shared" si="1"/>
        <v>1119801</v>
      </c>
      <c r="M26" s="53">
        <v>15000</v>
      </c>
      <c r="N26" s="54" t="s">
        <v>127</v>
      </c>
      <c r="O26" s="44">
        <v>24500</v>
      </c>
      <c r="P26" s="35">
        <v>5000</v>
      </c>
      <c r="Q26" s="35">
        <v>29500</v>
      </c>
      <c r="R26" s="45" t="s">
        <v>117</v>
      </c>
      <c r="S26" s="51">
        <v>35000</v>
      </c>
      <c r="T26" s="51">
        <v>45000</v>
      </c>
    </row>
    <row r="27" spans="1:20">
      <c r="A27" s="24" t="s">
        <v>14</v>
      </c>
      <c r="B27" s="25" t="s">
        <v>52</v>
      </c>
      <c r="C27" s="7">
        <v>1051700</v>
      </c>
      <c r="D27" s="8">
        <v>10517</v>
      </c>
      <c r="E27" s="8">
        <v>55125</v>
      </c>
      <c r="F27" s="8">
        <v>56126</v>
      </c>
      <c r="G27" s="8">
        <v>1519</v>
      </c>
      <c r="H27" s="8">
        <v>36809</v>
      </c>
      <c r="I27" s="8">
        <v>3500</v>
      </c>
      <c r="J27" s="8">
        <v>17000</v>
      </c>
      <c r="K27" s="8">
        <f t="shared" si="0"/>
        <v>1232296</v>
      </c>
      <c r="L27" s="29">
        <f t="shared" si="1"/>
        <v>1195487</v>
      </c>
      <c r="M27" s="53">
        <v>15000</v>
      </c>
      <c r="N27" s="54" t="s">
        <v>127</v>
      </c>
      <c r="O27" s="44">
        <v>23000</v>
      </c>
      <c r="P27" s="35">
        <v>5000</v>
      </c>
      <c r="Q27" s="35">
        <v>28000</v>
      </c>
      <c r="R27" s="45" t="s">
        <v>120</v>
      </c>
      <c r="S27" s="51">
        <v>35000</v>
      </c>
      <c r="T27" s="51">
        <v>45000</v>
      </c>
    </row>
    <row r="28" spans="1:20">
      <c r="A28" s="24" t="s">
        <v>12</v>
      </c>
      <c r="B28" s="25" t="s">
        <v>51</v>
      </c>
      <c r="C28" s="7">
        <v>1034200</v>
      </c>
      <c r="D28" s="8">
        <v>10342</v>
      </c>
      <c r="E28" s="8">
        <v>54312</v>
      </c>
      <c r="F28" s="8">
        <v>55236</v>
      </c>
      <c r="G28" s="8">
        <v>1519</v>
      </c>
      <c r="H28" s="8">
        <v>36197</v>
      </c>
      <c r="I28" s="8">
        <v>3500</v>
      </c>
      <c r="J28" s="8">
        <v>17000</v>
      </c>
      <c r="K28" s="8">
        <f t="shared" si="0"/>
        <v>1212306</v>
      </c>
      <c r="L28" s="29">
        <f t="shared" si="1"/>
        <v>1176109</v>
      </c>
      <c r="M28" s="53">
        <v>10000</v>
      </c>
      <c r="N28" s="54" t="s">
        <v>126</v>
      </c>
      <c r="O28" s="44">
        <v>23000</v>
      </c>
      <c r="P28" s="35">
        <v>5000</v>
      </c>
      <c r="Q28" s="35">
        <v>28000</v>
      </c>
      <c r="R28" s="45" t="s">
        <v>120</v>
      </c>
      <c r="S28" s="51">
        <v>35000</v>
      </c>
      <c r="T28" s="51">
        <v>45000</v>
      </c>
    </row>
    <row r="29" spans="1:20">
      <c r="A29" s="24" t="s">
        <v>64</v>
      </c>
      <c r="B29" s="25" t="s">
        <v>65</v>
      </c>
      <c r="C29" s="7">
        <v>958101</v>
      </c>
      <c r="D29" s="8">
        <v>0</v>
      </c>
      <c r="E29" s="8">
        <v>52372</v>
      </c>
      <c r="F29" s="8">
        <v>51017</v>
      </c>
      <c r="G29" s="8">
        <v>1519</v>
      </c>
      <c r="H29" s="8">
        <v>14372</v>
      </c>
      <c r="I29" s="8">
        <v>3500</v>
      </c>
      <c r="J29" s="8">
        <v>17000</v>
      </c>
      <c r="K29" s="8">
        <f t="shared" si="0"/>
        <v>1097881</v>
      </c>
      <c r="L29" s="29">
        <f t="shared" si="1"/>
        <v>1083509</v>
      </c>
      <c r="M29" s="53">
        <v>65000</v>
      </c>
      <c r="N29" s="54" t="s">
        <v>124</v>
      </c>
      <c r="O29" s="44">
        <v>65000</v>
      </c>
      <c r="P29" s="35">
        <v>5000</v>
      </c>
      <c r="Q29" s="35">
        <v>70000</v>
      </c>
      <c r="R29" s="45" t="s">
        <v>114</v>
      </c>
      <c r="S29" s="51">
        <v>35000</v>
      </c>
      <c r="T29" s="51">
        <v>45000</v>
      </c>
    </row>
    <row r="30" spans="1:20">
      <c r="A30" s="24" t="s">
        <v>27</v>
      </c>
      <c r="B30" s="25" t="s">
        <v>93</v>
      </c>
      <c r="C30" s="7">
        <v>885500</v>
      </c>
      <c r="D30" s="8">
        <v>0</v>
      </c>
      <c r="E30" s="8">
        <v>49695</v>
      </c>
      <c r="F30" s="8">
        <v>47325</v>
      </c>
      <c r="G30" s="8">
        <v>1519</v>
      </c>
      <c r="H30" s="8">
        <v>22137</v>
      </c>
      <c r="I30" s="8">
        <v>3500</v>
      </c>
      <c r="J30" s="8">
        <v>15000</v>
      </c>
      <c r="K30" s="8">
        <f t="shared" si="0"/>
        <v>1024676</v>
      </c>
      <c r="L30" s="29">
        <f t="shared" si="1"/>
        <v>1002539</v>
      </c>
      <c r="M30" s="53">
        <v>5000</v>
      </c>
      <c r="N30" s="54" t="s">
        <v>129</v>
      </c>
      <c r="O30" s="44">
        <v>20000</v>
      </c>
      <c r="P30" s="35">
        <v>5000</v>
      </c>
      <c r="Q30" s="35">
        <v>25000</v>
      </c>
      <c r="R30" s="45" t="s">
        <v>122</v>
      </c>
      <c r="S30" s="51">
        <v>35000</v>
      </c>
      <c r="T30" s="51">
        <v>45000</v>
      </c>
    </row>
    <row r="31" spans="1:20">
      <c r="A31" s="24" t="s">
        <v>26</v>
      </c>
      <c r="B31" s="25" t="s">
        <v>94</v>
      </c>
      <c r="C31" s="7">
        <v>970000</v>
      </c>
      <c r="D31" s="8">
        <v>0</v>
      </c>
      <c r="E31" s="8">
        <v>53339</v>
      </c>
      <c r="F31" s="8">
        <v>51622</v>
      </c>
      <c r="G31" s="8">
        <v>1519</v>
      </c>
      <c r="H31" s="8">
        <v>24250</v>
      </c>
      <c r="I31" s="8">
        <v>3500</v>
      </c>
      <c r="J31" s="8">
        <v>15000</v>
      </c>
      <c r="K31" s="8">
        <f t="shared" si="0"/>
        <v>1119230</v>
      </c>
      <c r="L31" s="29">
        <f t="shared" si="1"/>
        <v>1094980</v>
      </c>
      <c r="M31" s="53">
        <v>5000</v>
      </c>
      <c r="N31" s="54" t="s">
        <v>129</v>
      </c>
      <c r="O31" s="44">
        <v>20000</v>
      </c>
      <c r="P31" s="35">
        <v>5000</v>
      </c>
      <c r="Q31" s="35">
        <v>25000</v>
      </c>
      <c r="R31" s="45" t="s">
        <v>122</v>
      </c>
      <c r="S31" s="51">
        <v>35000</v>
      </c>
      <c r="T31" s="51">
        <v>45000</v>
      </c>
    </row>
    <row r="32" spans="1:20">
      <c r="A32" s="24" t="s">
        <v>28</v>
      </c>
      <c r="B32" s="25" t="s">
        <v>95</v>
      </c>
      <c r="C32" s="7">
        <v>997700</v>
      </c>
      <c r="D32" s="8">
        <v>0</v>
      </c>
      <c r="E32" s="8">
        <v>53362</v>
      </c>
      <c r="F32" s="8">
        <v>53031</v>
      </c>
      <c r="G32" s="8">
        <v>1519</v>
      </c>
      <c r="H32" s="8">
        <v>24943</v>
      </c>
      <c r="I32" s="8">
        <v>3500</v>
      </c>
      <c r="J32" s="8">
        <v>15000</v>
      </c>
      <c r="K32" s="8">
        <f t="shared" si="0"/>
        <v>1149055</v>
      </c>
      <c r="L32" s="29">
        <f t="shared" si="1"/>
        <v>1124112</v>
      </c>
      <c r="M32" s="53">
        <v>5000</v>
      </c>
      <c r="N32" s="54" t="s">
        <v>129</v>
      </c>
      <c r="O32" s="44">
        <v>20000</v>
      </c>
      <c r="P32" s="35">
        <v>5000</v>
      </c>
      <c r="Q32" s="35">
        <v>25000</v>
      </c>
      <c r="R32" s="45" t="s">
        <v>122</v>
      </c>
      <c r="S32" s="51">
        <v>35000</v>
      </c>
      <c r="T32" s="51">
        <v>45000</v>
      </c>
    </row>
    <row r="33" spans="1:20">
      <c r="A33" s="24" t="s">
        <v>62</v>
      </c>
      <c r="B33" s="25" t="s">
        <v>96</v>
      </c>
      <c r="C33" s="7">
        <v>922200</v>
      </c>
      <c r="D33" s="8">
        <v>0</v>
      </c>
      <c r="E33" s="8">
        <v>50896</v>
      </c>
      <c r="F33" s="8">
        <v>49192</v>
      </c>
      <c r="G33" s="8">
        <v>1519</v>
      </c>
      <c r="H33" s="8">
        <v>23055</v>
      </c>
      <c r="I33" s="8">
        <v>3500</v>
      </c>
      <c r="J33" s="8">
        <v>15000</v>
      </c>
      <c r="K33" s="8">
        <f t="shared" si="0"/>
        <v>1065362</v>
      </c>
      <c r="L33" s="29">
        <f t="shared" si="1"/>
        <v>1042307</v>
      </c>
      <c r="M33" s="53">
        <v>5000</v>
      </c>
      <c r="N33" s="54" t="s">
        <v>129</v>
      </c>
      <c r="O33" s="44">
        <v>15000</v>
      </c>
      <c r="P33" s="35">
        <v>5000</v>
      </c>
      <c r="Q33" s="35">
        <v>20000</v>
      </c>
      <c r="R33" s="45" t="s">
        <v>122</v>
      </c>
      <c r="S33" s="51">
        <v>35000</v>
      </c>
      <c r="T33" s="51">
        <v>45000</v>
      </c>
    </row>
    <row r="34" spans="1:20">
      <c r="A34" s="24" t="s">
        <v>29</v>
      </c>
      <c r="B34" s="25" t="s">
        <v>97</v>
      </c>
      <c r="C34" s="7">
        <v>999900</v>
      </c>
      <c r="D34" s="8">
        <v>0</v>
      </c>
      <c r="E34" s="8">
        <v>53432</v>
      </c>
      <c r="F34" s="8">
        <v>53142</v>
      </c>
      <c r="G34" s="8">
        <v>1519</v>
      </c>
      <c r="H34" s="8">
        <v>24997</v>
      </c>
      <c r="I34" s="8">
        <v>3500</v>
      </c>
      <c r="J34" s="8">
        <v>15000</v>
      </c>
      <c r="K34" s="8">
        <f t="shared" si="0"/>
        <v>1151490</v>
      </c>
      <c r="L34" s="29">
        <f t="shared" si="1"/>
        <v>1126493</v>
      </c>
      <c r="M34" s="53">
        <v>5000</v>
      </c>
      <c r="N34" s="54" t="s">
        <v>129</v>
      </c>
      <c r="O34" s="44">
        <v>15000</v>
      </c>
      <c r="P34" s="35">
        <v>5000</v>
      </c>
      <c r="Q34" s="35">
        <v>20000</v>
      </c>
      <c r="R34" s="45" t="s">
        <v>122</v>
      </c>
      <c r="S34" s="51">
        <v>35000</v>
      </c>
      <c r="T34" s="51">
        <v>45000</v>
      </c>
    </row>
    <row r="35" spans="1:20">
      <c r="A35" s="24" t="s">
        <v>24</v>
      </c>
      <c r="B35" s="25" t="s">
        <v>24</v>
      </c>
      <c r="C35" s="7">
        <v>962800</v>
      </c>
      <c r="D35" s="8">
        <v>0</v>
      </c>
      <c r="E35" s="8">
        <v>52222</v>
      </c>
      <c r="F35" s="8">
        <v>51256</v>
      </c>
      <c r="G35" s="8">
        <v>1519</v>
      </c>
      <c r="H35" s="8">
        <v>24070</v>
      </c>
      <c r="I35" s="8">
        <v>3500</v>
      </c>
      <c r="J35" s="8">
        <v>12000</v>
      </c>
      <c r="K35" s="8">
        <f t="shared" si="0"/>
        <v>1107367</v>
      </c>
      <c r="L35" s="29">
        <f t="shared" si="1"/>
        <v>1083297</v>
      </c>
      <c r="M35" s="53">
        <v>15000</v>
      </c>
      <c r="N35" s="54" t="s">
        <v>127</v>
      </c>
      <c r="O35" s="44">
        <v>23000</v>
      </c>
      <c r="P35" s="35">
        <v>5000</v>
      </c>
      <c r="Q35" s="35">
        <v>28000</v>
      </c>
      <c r="R35" s="45" t="s">
        <v>87</v>
      </c>
      <c r="S35" s="51">
        <v>35000</v>
      </c>
      <c r="T35" s="51">
        <v>45000</v>
      </c>
    </row>
    <row r="36" spans="1:20" ht="15.75" thickBot="1">
      <c r="A36" s="88" t="s">
        <v>25</v>
      </c>
      <c r="B36" s="89" t="s">
        <v>25</v>
      </c>
      <c r="C36" s="90">
        <v>985700</v>
      </c>
      <c r="D36" s="91">
        <v>0</v>
      </c>
      <c r="E36" s="91">
        <v>52969</v>
      </c>
      <c r="F36" s="91">
        <v>52420</v>
      </c>
      <c r="G36" s="91">
        <v>1519</v>
      </c>
      <c r="H36" s="91">
        <v>24643</v>
      </c>
      <c r="I36" s="91">
        <v>3500</v>
      </c>
      <c r="J36" s="91">
        <v>12000</v>
      </c>
      <c r="K36" s="91">
        <f t="shared" si="0"/>
        <v>1132751</v>
      </c>
      <c r="L36" s="92">
        <f t="shared" si="1"/>
        <v>1108108</v>
      </c>
      <c r="M36" s="55">
        <v>15000</v>
      </c>
      <c r="N36" s="56" t="s">
        <v>127</v>
      </c>
      <c r="O36" s="46">
        <v>23000</v>
      </c>
      <c r="P36" s="47">
        <v>5000</v>
      </c>
      <c r="Q36" s="47">
        <v>28000</v>
      </c>
      <c r="R36" s="48" t="s">
        <v>87</v>
      </c>
      <c r="S36" s="52">
        <v>35000</v>
      </c>
      <c r="T36" s="52">
        <v>45000</v>
      </c>
    </row>
  </sheetData>
  <autoFilter ref="A2:T36" xr:uid="{8B23E6FD-7762-4C22-90E4-A9620B029028}"/>
  <mergeCells count="5">
    <mergeCell ref="C1:L1"/>
    <mergeCell ref="A1:B1"/>
    <mergeCell ref="M1:N1"/>
    <mergeCell ref="O1:R1"/>
    <mergeCell ref="S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CD76A-B490-420B-BAEB-D8ED77990FC7}">
  <sheetPr codeName="Sheet3"/>
  <dimension ref="A1:E44"/>
  <sheetViews>
    <sheetView workbookViewId="0">
      <selection activeCell="E1" sqref="E1"/>
    </sheetView>
  </sheetViews>
  <sheetFormatPr defaultRowHeight="15"/>
  <cols>
    <col min="1" max="1" width="44.85546875" bestFit="1" customWidth="1"/>
    <col min="2" max="2" width="20" customWidth="1"/>
    <col min="3" max="3" width="22" customWidth="1"/>
    <col min="5" max="5" width="12.7109375" customWidth="1"/>
  </cols>
  <sheetData>
    <row r="1" spans="1:5">
      <c r="A1" s="4" t="s">
        <v>54</v>
      </c>
      <c r="C1" s="1" t="s">
        <v>0</v>
      </c>
      <c r="E1" s="34" t="s">
        <v>103</v>
      </c>
    </row>
    <row r="2" spans="1:5">
      <c r="A2" s="2" t="s">
        <v>30</v>
      </c>
      <c r="C2" t="str" cm="1">
        <f t="array" ref="C2">TRANSPOSE(_xlfn._xlws.SORT(_xlfn._xlws.FILTER(Vehicle_Model[Variant],ISNUMBER(SEARCH(Report!D3,Vehicle_Model[Variant])),"Not Found")))</f>
        <v>MAXX CITY 1.3 LX BS6.2</v>
      </c>
    </row>
    <row r="3" spans="1:5">
      <c r="A3" s="2" t="s">
        <v>31</v>
      </c>
    </row>
    <row r="4" spans="1:5">
      <c r="A4" s="2" t="s">
        <v>32</v>
      </c>
    </row>
    <row r="5" spans="1:5">
      <c r="A5" s="2" t="s">
        <v>33</v>
      </c>
    </row>
    <row r="6" spans="1:5">
      <c r="A6" s="2" t="s">
        <v>35</v>
      </c>
    </row>
    <row r="7" spans="1:5">
      <c r="A7" s="2" t="s">
        <v>34</v>
      </c>
    </row>
    <row r="8" spans="1:5">
      <c r="A8" s="2" t="s">
        <v>36</v>
      </c>
    </row>
    <row r="9" spans="1:5">
      <c r="A9" s="2" t="s">
        <v>37</v>
      </c>
    </row>
    <row r="10" spans="1:5">
      <c r="A10" s="2" t="s">
        <v>38</v>
      </c>
    </row>
    <row r="11" spans="1:5">
      <c r="A11" s="2" t="s">
        <v>39</v>
      </c>
    </row>
    <row r="12" spans="1:5">
      <c r="A12" s="2" t="s">
        <v>40</v>
      </c>
    </row>
    <row r="13" spans="1:5">
      <c r="A13" s="2" t="s">
        <v>41</v>
      </c>
    </row>
    <row r="14" spans="1:5">
      <c r="A14" s="2" t="s">
        <v>43</v>
      </c>
    </row>
    <row r="15" spans="1:5">
      <c r="A15" s="2" t="s">
        <v>42</v>
      </c>
    </row>
    <row r="16" spans="1:5">
      <c r="A16" s="2" t="s">
        <v>44</v>
      </c>
    </row>
    <row r="17" spans="1:1">
      <c r="A17" s="2" t="s">
        <v>45</v>
      </c>
    </row>
    <row r="18" spans="1:1">
      <c r="A18" s="2" t="s">
        <v>46</v>
      </c>
    </row>
    <row r="19" spans="1:1">
      <c r="A19" s="2" t="s">
        <v>47</v>
      </c>
    </row>
    <row r="20" spans="1:1">
      <c r="A20" s="2" t="s">
        <v>68</v>
      </c>
    </row>
    <row r="21" spans="1:1">
      <c r="A21" s="2" t="s">
        <v>48</v>
      </c>
    </row>
    <row r="22" spans="1:1">
      <c r="A22" s="2" t="s">
        <v>49</v>
      </c>
    </row>
    <row r="23" spans="1:1">
      <c r="A23" s="2" t="s">
        <v>50</v>
      </c>
    </row>
    <row r="24" spans="1:1">
      <c r="A24" s="2" t="s">
        <v>70</v>
      </c>
    </row>
    <row r="25" spans="1:1">
      <c r="A25" s="2" t="s">
        <v>72</v>
      </c>
    </row>
    <row r="26" spans="1:1">
      <c r="A26" s="2" t="s">
        <v>52</v>
      </c>
    </row>
    <row r="27" spans="1:1">
      <c r="A27" s="2" t="s">
        <v>51</v>
      </c>
    </row>
    <row r="28" spans="1:1">
      <c r="A28" s="2" t="s">
        <v>65</v>
      </c>
    </row>
    <row r="29" spans="1:1">
      <c r="A29" s="2" t="s">
        <v>93</v>
      </c>
    </row>
    <row r="30" spans="1:1">
      <c r="A30" s="2" t="s">
        <v>94</v>
      </c>
    </row>
    <row r="31" spans="1:1">
      <c r="A31" s="2" t="s">
        <v>95</v>
      </c>
    </row>
    <row r="32" spans="1:1">
      <c r="A32" s="2" t="s">
        <v>96</v>
      </c>
    </row>
    <row r="33" spans="1:1">
      <c r="A33" s="2" t="s">
        <v>97</v>
      </c>
    </row>
    <row r="34" spans="1:1">
      <c r="A34" s="2" t="s">
        <v>24</v>
      </c>
    </row>
    <row r="35" spans="1:1">
      <c r="A35" s="2" t="s">
        <v>25</v>
      </c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0EDED336F4AC345937821C4378B0575" ma:contentTypeVersion="13" ma:contentTypeDescription="Ein neues Dokument erstellen." ma:contentTypeScope="" ma:versionID="494f29b6abfd1a658fb4a91257319fb7">
  <xsd:schema xmlns:xsd="http://www.w3.org/2001/XMLSchema" xmlns:xs="http://www.w3.org/2001/XMLSchema" xmlns:p="http://schemas.microsoft.com/office/2006/metadata/properties" xmlns:ns3="cc81ea25-3c65-47fe-b799-37236d34457b" xmlns:ns4="3aa501bf-b653-40a4-9ae9-61a4d1229c70" targetNamespace="http://schemas.microsoft.com/office/2006/metadata/properties" ma:root="true" ma:fieldsID="79a9a6d6e67940bfc0c15f927b8771f4" ns3:_="" ns4:_="">
    <xsd:import namespace="cc81ea25-3c65-47fe-b799-37236d34457b"/>
    <xsd:import namespace="3aa501bf-b653-40a4-9ae9-61a4d1229c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1ea25-3c65-47fe-b799-37236d344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a501bf-b653-40a4-9ae9-61a4d1229c7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62C800-B5CF-4467-9EC7-2088426858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B08E05-D3E6-4391-8AA6-C9B1EA9A23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1ea25-3c65-47fe-b799-37236d34457b"/>
    <ds:schemaRef ds:uri="3aa501bf-b653-40a4-9ae9-61a4d1229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0AA7BD-7B6E-43C6-AED0-1E579093AA9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Sheet1</vt:lpstr>
      <vt:lpstr>MasterData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Nishal Modi</dc:creator>
  <cp:keywords/>
  <dc:description/>
  <cp:lastModifiedBy>Nishal Modi</cp:lastModifiedBy>
  <cp:revision/>
  <dcterms:created xsi:type="dcterms:W3CDTF">2018-12-17T09:59:10Z</dcterms:created>
  <dcterms:modified xsi:type="dcterms:W3CDTF">2026-01-11T09:36:44Z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0x01010060EDED336F4AC345937821C4378B0575</vt:lpwstr>
  </property>
</Properties>
</file>