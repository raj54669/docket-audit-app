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uditor RSM Data\To be Consider\01 Jan-2026\"/>
    </mc:Choice>
  </mc:AlternateContent>
  <xr:revisionPtr revIDLastSave="0" documentId="13_ncr:1_{A0761CC5-3033-4A7A-B986-7D6465934007}" xr6:coauthVersionLast="47" xr6:coauthVersionMax="47" xr10:uidLastSave="{00000000-0000-0000-0000-000000000000}"/>
  <bookViews>
    <workbookView xWindow="-120" yWindow="-120" windowWidth="24240" windowHeight="13020" xr2:uid="{9C2300AC-C402-454B-B7CF-00A24C218261}"/>
  </bookViews>
  <sheets>
    <sheet name="Report" sheetId="1" r:id="rId1"/>
    <sheet name="Sheet1" sheetId="4" r:id="rId2"/>
    <sheet name="MasterData" sheetId="2" r:id="rId3"/>
  </sheets>
  <externalReferences>
    <externalReference r:id="rId4"/>
    <externalReference r:id="rId5"/>
  </externalReferences>
  <definedNames>
    <definedName name="_xlnm._FilterDatabase" localSheetId="1" hidden="1">Sheet1!$A$2:$T$36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4" l="1" a="1"/>
  <c r="C36" i="4" s="1"/>
  <c r="C35" i="4" a="1"/>
  <c r="C35" i="4" s="1"/>
  <c r="C34" i="4" a="1"/>
  <c r="C34" i="4" s="1"/>
  <c r="C33" i="4" a="1"/>
  <c r="C33" i="4" s="1"/>
  <c r="C32" i="4" a="1"/>
  <c r="C32" i="4" s="1"/>
  <c r="C31" i="4" a="1"/>
  <c r="C31" i="4" s="1"/>
  <c r="C30" i="4" a="1"/>
  <c r="C30" i="4" s="1"/>
  <c r="C29" i="4" a="1"/>
  <c r="C29" i="4" s="1"/>
  <c r="C28" i="4" a="1"/>
  <c r="C28" i="4" s="1"/>
  <c r="C27" i="4" a="1"/>
  <c r="C27" i="4" s="1"/>
  <c r="C26" i="4" a="1"/>
  <c r="C26" i="4" s="1"/>
  <c r="C25" i="4" a="1"/>
  <c r="C25" i="4" s="1"/>
  <c r="C24" i="4" a="1"/>
  <c r="C24" i="4" s="1"/>
  <c r="C23" i="4" a="1"/>
  <c r="C23" i="4" s="1"/>
  <c r="C22" i="4" a="1"/>
  <c r="C22" i="4" s="1"/>
  <c r="C21" i="4" a="1"/>
  <c r="C21" i="4" s="1"/>
  <c r="C20" i="4" a="1"/>
  <c r="C20" i="4" s="1"/>
  <c r="C19" i="4" a="1"/>
  <c r="C19" i="4" s="1"/>
  <c r="C18" i="4" a="1"/>
  <c r="C18" i="4" s="1"/>
  <c r="C17" i="4" a="1"/>
  <c r="C17" i="4" s="1"/>
  <c r="C16" i="4" a="1"/>
  <c r="C16" i="4" s="1"/>
  <c r="C15" i="4" a="1"/>
  <c r="C15" i="4" s="1"/>
  <c r="C14" i="4" a="1"/>
  <c r="C14" i="4" s="1"/>
  <c r="C13" i="4" a="1"/>
  <c r="C13" i="4" s="1"/>
  <c r="C12" i="4" a="1"/>
  <c r="C12" i="4" s="1"/>
  <c r="C11" i="4" a="1"/>
  <c r="C11" i="4" s="1"/>
  <c r="C10" i="4" a="1"/>
  <c r="C10" i="4" s="1"/>
  <c r="C9" i="4" a="1"/>
  <c r="C9" i="4" s="1"/>
  <c r="C8" i="4" a="1"/>
  <c r="C8" i="4" s="1"/>
  <c r="C7" i="4" a="1"/>
  <c r="C7" i="4" s="1"/>
  <c r="C6" i="4" a="1"/>
  <c r="C6" i="4" s="1"/>
  <c r="C5" i="4" a="1"/>
  <c r="C5" i="4" s="1"/>
  <c r="C4" i="4" a="1"/>
  <c r="C4" i="4" s="1"/>
  <c r="C3" i="4" a="1"/>
  <c r="C3" i="4" s="1"/>
  <c r="D5" i="1" l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O4" i="4" a="1"/>
  <c r="O4" i="4" s="1"/>
  <c r="O5" i="4" a="1"/>
  <c r="O5" i="4" s="1"/>
  <c r="O6" i="4" a="1"/>
  <c r="O6" i="4"/>
  <c r="O7" i="4" a="1"/>
  <c r="O7" i="4" s="1"/>
  <c r="O8" i="4" a="1"/>
  <c r="O8" i="4" s="1"/>
  <c r="O9" i="4" a="1"/>
  <c r="O9" i="4" s="1"/>
  <c r="O10" i="4" a="1"/>
  <c r="O10" i="4"/>
  <c r="O11" i="4" a="1"/>
  <c r="O11" i="4" s="1"/>
  <c r="O12" i="4" a="1"/>
  <c r="O12" i="4" s="1"/>
  <c r="O13" i="4" a="1"/>
  <c r="O13" i="4" s="1"/>
  <c r="O14" i="4" a="1"/>
  <c r="O14" i="4"/>
  <c r="O15" i="4" a="1"/>
  <c r="O15" i="4" s="1"/>
  <c r="O16" i="4" a="1"/>
  <c r="O16" i="4" s="1"/>
  <c r="O17" i="4" a="1"/>
  <c r="O17" i="4" s="1"/>
  <c r="O18" i="4" a="1"/>
  <c r="O18" i="4"/>
  <c r="O19" i="4" a="1"/>
  <c r="O19" i="4" s="1"/>
  <c r="O20" i="4" a="1"/>
  <c r="O20" i="4" s="1"/>
  <c r="O21" i="4" a="1"/>
  <c r="O21" i="4" s="1"/>
  <c r="O22" i="4" a="1"/>
  <c r="O22" i="4"/>
  <c r="O23" i="4" a="1"/>
  <c r="O23" i="4" s="1"/>
  <c r="O24" i="4" a="1"/>
  <c r="O24" i="4" s="1"/>
  <c r="O25" i="4" a="1"/>
  <c r="O25" i="4" s="1"/>
  <c r="O26" i="4" a="1"/>
  <c r="O26" i="4"/>
  <c r="O27" i="4" a="1"/>
  <c r="O27" i="4" s="1"/>
  <c r="O28" i="4" a="1"/>
  <c r="O28" i="4" s="1"/>
  <c r="O29" i="4" a="1"/>
  <c r="O29" i="4" s="1"/>
  <c r="O30" i="4" a="1"/>
  <c r="O30" i="4"/>
  <c r="O31" i="4" a="1"/>
  <c r="O31" i="4" s="1"/>
  <c r="O32" i="4" a="1"/>
  <c r="O32" i="4" s="1"/>
  <c r="O33" i="4" a="1"/>
  <c r="O33" i="4" s="1"/>
  <c r="O34" i="4" a="1"/>
  <c r="O34" i="4" s="1"/>
  <c r="O35" i="4" a="1"/>
  <c r="O35" i="4" s="1"/>
  <c r="O36" i="4" a="1"/>
  <c r="O36" i="4" s="1"/>
  <c r="O3" i="4" a="1"/>
  <c r="O3" i="4" s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" i="4"/>
  <c r="C2" i="2" l="1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<sst xmlns="http://schemas.openxmlformats.org/spreadsheetml/2006/main" count="200" uniqueCount="119">
  <si>
    <t>Data Validation Prep.</t>
  </si>
  <si>
    <t>BOL MAXX PUP HD 1.7 LX CBC</t>
  </si>
  <si>
    <t>BOL MAXX PUP HD 1.7 LX</t>
  </si>
  <si>
    <t>BOL MAXX PUP HD 1.7 VXI</t>
  </si>
  <si>
    <t>BOL MAXX PUP HD 1.7 VXI AC</t>
  </si>
  <si>
    <t>BOL MAXX PUP HD 1.7 MX</t>
  </si>
  <si>
    <t>BOL MAXX PUP HD 1.7L LX</t>
  </si>
  <si>
    <t>BOL MAXX PUP HD 1.7L VXI</t>
  </si>
  <si>
    <t>BOL MAXX PUP HD 1.7L MX</t>
  </si>
  <si>
    <t>BOL MAXX PUP HD 1.7L SXI AC</t>
  </si>
  <si>
    <t>BOL MAXX PUP HD 2.0L LX CBC</t>
  </si>
  <si>
    <t>BOL MAXX PUP HD 2.0L LX</t>
  </si>
  <si>
    <t>BOL MAXX PUP HD 2.0L VXI</t>
  </si>
  <si>
    <t>BOL MAXX PUP HD 2.0L MX</t>
  </si>
  <si>
    <t>BOL MAXX PUP HD 2.0L VXI AC</t>
  </si>
  <si>
    <t>BOL MAXX PUP HD 1.3 LX</t>
  </si>
  <si>
    <t>BOL MAXX PUP HD 1.3 VXID AC</t>
  </si>
  <si>
    <t>BOL MAXX PUP CITY 1.3 LX CBC</t>
  </si>
  <si>
    <t>BOL MAXX PUP CITY 1.3 LX</t>
  </si>
  <si>
    <t>BOL MAXX PUP CITY 1.3 VXID</t>
  </si>
  <si>
    <t>BOL MAXX PUP CITY 1.3 VXID AC</t>
  </si>
  <si>
    <t>BOL MAXX PUP CITY 1.3 SXI AC</t>
  </si>
  <si>
    <t>BOL MAXX PUP CITY 1.3 MXD</t>
  </si>
  <si>
    <t>BOL MAXX PUP CITY LX CNG</t>
  </si>
  <si>
    <t>BOL PIK UP FB 1.3T - BS6.2 - PS</t>
  </si>
  <si>
    <t>BOL PIK UP FB 1.3T - BS6.2 - PS AC</t>
  </si>
  <si>
    <t>BOL CAMPER 2WD POWER STEERING BS6.2 - NEW</t>
  </si>
  <si>
    <t>BOL CAMPER 2WD POWER STEERING BS6.2 - CV</t>
  </si>
  <si>
    <t>BOL CAMPER 4WD POWER STEERING BS6.2 - NEW</t>
  </si>
  <si>
    <t>BOL CAMPER GOLD ZX 2WD BS6.2 - NEW</t>
  </si>
  <si>
    <t>MAXX CITY 1.3 LX BS6.2</t>
  </si>
  <si>
    <t>MAXX CITY 1.3 LX CBC BS6.2</t>
  </si>
  <si>
    <t>MAXX CITY 1.3 MXi BS6.2</t>
  </si>
  <si>
    <t>MAXX CITY 1.3 SXi AC - BS6.2</t>
  </si>
  <si>
    <t>MAXX CITY 1.3 VXi BS6.2</t>
  </si>
  <si>
    <t>MAXX CITY 1.3 VXi AC - BS6.2</t>
  </si>
  <si>
    <t>MAXX CITY LX CNG BS6.2</t>
  </si>
  <si>
    <t>MAXX HD 1.3 LX BS6.2</t>
  </si>
  <si>
    <t>MAXX HD 1.3 VXi AC - BS6.2</t>
  </si>
  <si>
    <t>MAXX HD 1.7 LX BS6.2</t>
  </si>
  <si>
    <t>MAXX HD 1.7 LX CBC BS6.2</t>
  </si>
  <si>
    <t>MAXX HD 1.7 MXi BS6.2</t>
  </si>
  <si>
    <t>MAXX HD 1.7 VXi BS6.2</t>
  </si>
  <si>
    <t>MAXX HD 1.7 VXi AC - BS6.2</t>
  </si>
  <si>
    <t>MAXX HD 1.7L LX BS6.2</t>
  </si>
  <si>
    <t>MAXX HD 1.7L MXi BS6.2</t>
  </si>
  <si>
    <t>MAXX HD 1.7L SXi AC - BS6.2</t>
  </si>
  <si>
    <t>MAXX HD 1.7L VXi BS6.2</t>
  </si>
  <si>
    <t>MAXX HD 2.0L LX BS6.2</t>
  </si>
  <si>
    <t>MAXX HD 2.0L LX CBC BS6.2</t>
  </si>
  <si>
    <t>MAXX HD 2.0L MXi BS6.2</t>
  </si>
  <si>
    <t>MAXX HD 2.0L VXi BS6.2</t>
  </si>
  <si>
    <t>MAXX HD 2.0L VXi AC - BS6.2</t>
  </si>
  <si>
    <t>Select Vehicle Variant</t>
  </si>
  <si>
    <t>Variant</t>
  </si>
  <si>
    <t>TCS</t>
  </si>
  <si>
    <t>MAXI CARE</t>
  </si>
  <si>
    <t>Accessories</t>
  </si>
  <si>
    <t>Vehicle Price</t>
  </si>
  <si>
    <t>Ex-Showroom Price</t>
  </si>
  <si>
    <t>VIN
2025</t>
  </si>
  <si>
    <t>VEHICLE PRICE</t>
  </si>
  <si>
    <t>BOL CAMPER GOLD VX 2WD POWER STEERING BS6.2 - CV</t>
  </si>
  <si>
    <t>Model Name</t>
  </si>
  <si>
    <t>BOL MAXX PUP HD LX CNG</t>
  </si>
  <si>
    <t>MAXX HD LX CNG BS6.2</t>
  </si>
  <si>
    <t>VIN 2024 vehicles are not part of Discount adherance</t>
  </si>
  <si>
    <t>MODEL &amp; VARIANT</t>
  </si>
  <si>
    <t>MAXX HD 1.9 Vxi CNG BS6.2</t>
  </si>
  <si>
    <t>BOL MAXX PUP HD 2.0L SXI AC</t>
  </si>
  <si>
    <t>MAXX HD 2.0L SXi AC - BS6.2</t>
  </si>
  <si>
    <t>BOL MAXX PUP HD 2.0L SXI AC CBC</t>
  </si>
  <si>
    <t>MAXX HD 2.0L SXi CBC AC - BS6.2</t>
  </si>
  <si>
    <t>Vin's Above 90 Days are open for Discount - Auditor to take Tally Stock on 5th of Every month for &gt;90 Days Stock</t>
  </si>
  <si>
    <t>There is no discount on accessories package</t>
  </si>
  <si>
    <t>Sr.</t>
  </si>
  <si>
    <t>Points</t>
  </si>
  <si>
    <t>MODEL NOT SPECIFIED</t>
  </si>
  <si>
    <t>Price will remain the same at both showrooms</t>
  </si>
  <si>
    <t>For Camper Model Insurance in house is mandatory and in case of out house Insurance only M&amp;M Consumer offer will be applicable</t>
  </si>
  <si>
    <t>Only bulk deals of 10 or more vehicles will be considered outside the cartel</t>
  </si>
  <si>
    <t>As per price list insurance is mandatory</t>
  </si>
  <si>
    <t>For vehicles where the accessories package is not free, an accessories package worth ₹12,000 will be mandatory.</t>
  </si>
  <si>
    <t>NO Additional Payout to be Passed on to DSA - Both PV &amp; CV</t>
  </si>
  <si>
    <t>NO DSA Sale on Exshowroom</t>
  </si>
  <si>
    <t>Invoice on full amount</t>
  </si>
  <si>
    <t>100% Insurance + 100% RTO + RSA FREE</t>
  </si>
  <si>
    <t>30K + 17K Accessories + RSA FREE</t>
  </si>
  <si>
    <t>35K + 17K Accessories + RSA FREE</t>
  </si>
  <si>
    <t>100% Insurance + 12K Accessories + RSA FREE</t>
  </si>
  <si>
    <t>30K + 12K Accessories + RSA FREE</t>
  </si>
  <si>
    <t>100% Insurance + 20K Accessories + RSA FREE</t>
  </si>
  <si>
    <t>23K + 12K Accessories + RSA FREE</t>
  </si>
  <si>
    <t>50% Insurance + 12K Accessories + RSA FREE</t>
  </si>
  <si>
    <t>35K + 17K Accessories + RSA FREE (Same as MX)</t>
  </si>
  <si>
    <t>JAN-2026 VIN 2026</t>
  </si>
  <si>
    <t>JAN-2026  VIN 2025</t>
  </si>
  <si>
    <t>VIN 2026 Dealer Offer</t>
  </si>
  <si>
    <t>VIN 2025 Dealer Offer</t>
  </si>
  <si>
    <t>CAMPER 2WD POWER STEERING BS6.2 - CV</t>
  </si>
  <si>
    <t>CAMPER 2WD POWER STEERING BS6.2 - NEW</t>
  </si>
  <si>
    <t>CAMPER 4WD POWER STEERING BS6.2 - NEW</t>
  </si>
  <si>
    <t>CAMPER GOLD VX 2WD POWER STEERING BS6.2 - CV</t>
  </si>
  <si>
    <t>CAMPER GOLD ZX 2WD BS6.2 - NEW</t>
  </si>
  <si>
    <t>VIN 2026</t>
  </si>
  <si>
    <t>Exchange Bonus</t>
  </si>
  <si>
    <t>Scrappage Bonus</t>
  </si>
  <si>
    <t>Other Offers</t>
  </si>
  <si>
    <t>Total M&amp;M Scheme with GST (2026)</t>
  </si>
  <si>
    <t>=VLOOKUP(A3,'[CV Price List D. 09.01.2026.xlsx]Sheet1'!$B$1:$L$35,{2,3,4,5,6,7,8,9,10,11},FALSE)</t>
  </si>
  <si>
    <t>Comprehensive + Zero Dep. Insurance</t>
  </si>
  <si>
    <t>R.T.O. Charges With Hypo.</t>
  </si>
  <si>
    <t>RSA (Road Side Assistance) For 1 Year</t>
  </si>
  <si>
    <t>SMC Road - Tax (If Applicable)</t>
  </si>
  <si>
    <t>ON ROAD PRICE With SMC Road Tax</t>
  </si>
  <si>
    <t>ON ROAD PRICE Without SMC Road Tax</t>
  </si>
  <si>
    <t>M&amp;M Scheme with GST (2025)</t>
  </si>
  <si>
    <t>Dealer Contribution with GST (2025)</t>
  </si>
  <si>
    <t>Total Scheme with GST (M&amp;M + Dealer)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</si>
</sst>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AEB"/>
        <bgColor indexed="64"/>
      </patternFill>
    </fill>
    <fill>
      <patternFill patternType="solid">
        <fgColor rgb="FF2981B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theme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92">
    <xf numFmtId="0" fontId="0" fillId="0" borderId="0" xfId="0"/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vertical="center" wrapText="1"/>
    </xf>
    <xf numFmtId="0" fontId="9" fillId="5" borderId="4" xfId="4" applyNumberFormat="1" applyFont="1" applyFill="1" applyBorder="1" applyAlignment="1">
      <alignment horizontal="center" vertical="center" wrapText="1"/>
    </xf>
    <xf numFmtId="0" fontId="9" fillId="5" borderId="5" xfId="4" applyNumberFormat="1" applyFont="1" applyFill="1" applyBorder="1" applyAlignment="1">
      <alignment horizontal="center" vertical="center" wrapText="1"/>
    </xf>
    <xf numFmtId="43" fontId="7" fillId="6" borderId="7" xfId="4" applyFont="1" applyFill="1" applyBorder="1"/>
    <xf numFmtId="43" fontId="7" fillId="6" borderId="9" xfId="4" applyFont="1" applyFill="1" applyBorder="1"/>
    <xf numFmtId="0" fontId="0" fillId="7" borderId="0" xfId="0" applyFill="1"/>
    <xf numFmtId="0" fontId="10" fillId="7" borderId="0" xfId="0" applyFont="1" applyFill="1"/>
    <xf numFmtId="0" fontId="3" fillId="2" borderId="20" xfId="0" applyFont="1" applyFill="1" applyBorder="1" applyProtection="1">
      <protection locked="0"/>
    </xf>
    <xf numFmtId="0" fontId="7" fillId="0" borderId="0" xfId="0" applyFont="1"/>
    <xf numFmtId="0" fontId="3" fillId="9" borderId="10" xfId="0" applyFont="1" applyFill="1" applyBorder="1"/>
    <xf numFmtId="0" fontId="3" fillId="9" borderId="21" xfId="0" applyFont="1" applyFill="1" applyBorder="1"/>
    <xf numFmtId="0" fontId="3" fillId="11" borderId="18" xfId="0" applyFont="1" applyFill="1" applyBorder="1"/>
    <xf numFmtId="0" fontId="3" fillId="11" borderId="10" xfId="0" applyFont="1" applyFill="1" applyBorder="1"/>
    <xf numFmtId="43" fontId="3" fillId="11" borderId="17" xfId="4" applyFont="1" applyFill="1" applyBorder="1" applyProtection="1">
      <protection hidden="1"/>
    </xf>
    <xf numFmtId="43" fontId="3" fillId="11" borderId="11" xfId="4" applyFont="1" applyFill="1" applyBorder="1" applyAlignment="1" applyProtection="1">
      <alignment horizontal="right"/>
      <protection hidden="1"/>
    </xf>
    <xf numFmtId="43" fontId="3" fillId="11" borderId="11" xfId="4" applyFont="1" applyFill="1" applyBorder="1" applyProtection="1">
      <protection hidden="1"/>
    </xf>
    <xf numFmtId="43" fontId="3" fillId="9" borderId="11" xfId="4" applyFont="1" applyFill="1" applyBorder="1" applyProtection="1">
      <protection hidden="1"/>
    </xf>
    <xf numFmtId="43" fontId="3" fillId="9" borderId="19" xfId="4" applyFont="1" applyFill="1" applyBorder="1" applyProtection="1">
      <protection hidden="1"/>
    </xf>
    <xf numFmtId="0" fontId="6" fillId="13" borderId="7" xfId="0" applyFont="1" applyFill="1" applyBorder="1"/>
    <xf numFmtId="0" fontId="12" fillId="13" borderId="8" xfId="0" applyFont="1" applyFill="1" applyBorder="1"/>
    <xf numFmtId="0" fontId="6" fillId="13" borderId="10" xfId="0" applyFont="1" applyFill="1" applyBorder="1"/>
    <xf numFmtId="0" fontId="12" fillId="13" borderId="11" xfId="0" applyFont="1" applyFill="1" applyBorder="1"/>
    <xf numFmtId="0" fontId="6" fillId="14" borderId="4" xfId="0" applyFont="1" applyFill="1" applyBorder="1" applyAlignment="1">
      <alignment vertical="center" wrapText="1"/>
    </xf>
    <xf numFmtId="0" fontId="6" fillId="14" borderId="6" xfId="0" applyFont="1" applyFill="1" applyBorder="1" applyAlignment="1">
      <alignment vertical="center"/>
    </xf>
    <xf numFmtId="0" fontId="9" fillId="5" borderId="26" xfId="4" applyNumberFormat="1" applyFont="1" applyFill="1" applyBorder="1" applyAlignment="1">
      <alignment horizontal="center" vertical="center" wrapText="1"/>
    </xf>
    <xf numFmtId="43" fontId="7" fillId="6" borderId="27" xfId="4" applyFont="1" applyFill="1" applyBorder="1"/>
    <xf numFmtId="0" fontId="6" fillId="16" borderId="12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vertical="center"/>
    </xf>
    <xf numFmtId="0" fontId="13" fillId="15" borderId="12" xfId="0" applyFont="1" applyFill="1" applyBorder="1" applyAlignment="1">
      <alignment vertical="center"/>
    </xf>
    <xf numFmtId="0" fontId="6" fillId="16" borderId="12" xfId="0" applyFont="1" applyFill="1" applyBorder="1" applyAlignment="1">
      <alignment vertical="center" wrapText="1"/>
    </xf>
    <xf numFmtId="0" fontId="0" fillId="0" borderId="0" xfId="0" quotePrefix="1"/>
    <xf numFmtId="43" fontId="7" fillId="12" borderId="12" xfId="4" applyFont="1" applyFill="1" applyBorder="1"/>
    <xf numFmtId="0" fontId="9" fillId="17" borderId="29" xfId="4" applyNumberFormat="1" applyFont="1" applyFill="1" applyBorder="1" applyAlignment="1">
      <alignment horizontal="center" vertical="center" wrapText="1"/>
    </xf>
    <xf numFmtId="0" fontId="9" fillId="17" borderId="6" xfId="4" applyNumberFormat="1" applyFont="1" applyFill="1" applyBorder="1" applyAlignment="1">
      <alignment horizontal="center" vertical="center" wrapText="1"/>
    </xf>
    <xf numFmtId="43" fontId="7" fillId="12" borderId="9" xfId="4" applyFont="1" applyFill="1" applyBorder="1"/>
    <xf numFmtId="0" fontId="8" fillId="12" borderId="33" xfId="0" applyFont="1" applyFill="1" applyBorder="1" applyAlignment="1">
      <alignment horizontal="center"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8" fillId="12" borderId="35" xfId="0" applyFont="1" applyFill="1" applyBorder="1" applyAlignment="1">
      <alignment horizontal="center" vertical="center" wrapText="1"/>
    </xf>
    <xf numFmtId="0" fontId="11" fillId="18" borderId="2" xfId="0" applyFont="1" applyFill="1" applyBorder="1"/>
    <xf numFmtId="0" fontId="8" fillId="18" borderId="2" xfId="0" applyFont="1" applyFill="1" applyBorder="1" applyAlignment="1">
      <alignment horizontal="center" vertical="center" wrapText="1"/>
    </xf>
    <xf numFmtId="43" fontId="7" fillId="12" borderId="7" xfId="4" applyFont="1" applyFill="1" applyBorder="1"/>
    <xf numFmtId="0" fontId="7" fillId="12" borderId="8" xfId="4" applyNumberFormat="1" applyFont="1" applyFill="1" applyBorder="1"/>
    <xf numFmtId="43" fontId="7" fillId="12" borderId="10" xfId="4" applyFont="1" applyFill="1" applyBorder="1"/>
    <xf numFmtId="0" fontId="7" fillId="12" borderId="11" xfId="4" applyNumberFormat="1" applyFont="1" applyFill="1" applyBorder="1"/>
    <xf numFmtId="43" fontId="7" fillId="12" borderId="31" xfId="4" applyFont="1" applyFill="1" applyBorder="1"/>
    <xf numFmtId="43" fontId="7" fillId="12" borderId="32" xfId="4" applyFont="1" applyFill="1" applyBorder="1"/>
    <xf numFmtId="0" fontId="7" fillId="12" borderId="13" xfId="4" applyNumberFormat="1" applyFont="1" applyFill="1" applyBorder="1"/>
    <xf numFmtId="0" fontId="7" fillId="18" borderId="2" xfId="4" applyNumberFormat="1" applyFont="1" applyFill="1" applyBorder="1"/>
    <xf numFmtId="0" fontId="11" fillId="19" borderId="39" xfId="0" applyFont="1" applyFill="1" applyBorder="1"/>
    <xf numFmtId="0" fontId="8" fillId="19" borderId="28" xfId="0" applyFont="1" applyFill="1" applyBorder="1" applyAlignment="1">
      <alignment horizontal="center" vertical="center" wrapText="1"/>
    </xf>
    <xf numFmtId="43" fontId="7" fillId="19" borderId="40" xfId="4" applyFont="1" applyFill="1" applyBorder="1"/>
    <xf numFmtId="43" fontId="7" fillId="19" borderId="41" xfId="4" applyFont="1" applyFill="1" applyBorder="1"/>
    <xf numFmtId="43" fontId="7" fillId="19" borderId="38" xfId="4" applyFont="1" applyFill="1" applyBorder="1"/>
    <xf numFmtId="43" fontId="7" fillId="8" borderId="42" xfId="4" applyFont="1" applyFill="1" applyBorder="1"/>
    <xf numFmtId="43" fontId="7" fillId="8" borderId="8" xfId="4" applyFont="1" applyFill="1" applyBorder="1"/>
    <xf numFmtId="43" fontId="7" fillId="8" borderId="15" xfId="4" applyFont="1" applyFill="1" applyBorder="1"/>
    <xf numFmtId="43" fontId="7" fillId="8" borderId="35" xfId="4" applyFont="1" applyFill="1" applyBorder="1"/>
    <xf numFmtId="0" fontId="3" fillId="20" borderId="22" xfId="0" applyFont="1" applyFill="1" applyBorder="1" applyAlignment="1">
      <alignment vertical="center"/>
    </xf>
    <xf numFmtId="43" fontId="3" fillId="20" borderId="11" xfId="4" applyFont="1" applyFill="1" applyBorder="1" applyAlignment="1" applyProtection="1">
      <protection hidden="1"/>
    </xf>
    <xf numFmtId="0" fontId="3" fillId="20" borderId="25" xfId="0" applyFont="1" applyFill="1" applyBorder="1" applyAlignment="1">
      <alignment vertical="center"/>
    </xf>
    <xf numFmtId="43" fontId="3" fillId="20" borderId="8" xfId="4" applyFont="1" applyFill="1" applyBorder="1" applyProtection="1">
      <protection hidden="1"/>
    </xf>
    <xf numFmtId="0" fontId="3" fillId="20" borderId="42" xfId="0" applyFont="1" applyFill="1" applyBorder="1"/>
    <xf numFmtId="43" fontId="3" fillId="21" borderId="17" xfId="4" applyFont="1" applyFill="1" applyBorder="1" applyProtection="1">
      <protection hidden="1"/>
    </xf>
    <xf numFmtId="43" fontId="3" fillId="21" borderId="13" xfId="4" applyFont="1" applyFill="1" applyBorder="1" applyProtection="1">
      <protection hidden="1"/>
    </xf>
    <xf numFmtId="43" fontId="3" fillId="20" borderId="19" xfId="4" applyFont="1" applyFill="1" applyBorder="1" applyAlignment="1" applyProtection="1">
      <alignment horizontal="right" vertical="center" wrapText="1"/>
      <protection hidden="1"/>
    </xf>
    <xf numFmtId="43" fontId="3" fillId="23" borderId="17" xfId="4" applyFont="1" applyFill="1" applyBorder="1" applyAlignment="1" applyProtection="1">
      <protection hidden="1"/>
    </xf>
    <xf numFmtId="43" fontId="3" fillId="23" borderId="13" xfId="4" applyFont="1" applyFill="1" applyBorder="1" applyAlignment="1" applyProtection="1">
      <protection hidden="1"/>
    </xf>
    <xf numFmtId="0" fontId="3" fillId="23" borderId="45" xfId="0" applyFont="1" applyFill="1" applyBorder="1" applyAlignment="1">
      <alignment vertical="center"/>
    </xf>
    <xf numFmtId="0" fontId="3" fillId="23" borderId="46" xfId="0" applyFont="1" applyFill="1" applyBorder="1" applyAlignment="1">
      <alignment vertical="center"/>
    </xf>
    <xf numFmtId="0" fontId="3" fillId="21" borderId="45" xfId="0" applyFont="1" applyFill="1" applyBorder="1"/>
    <xf numFmtId="0" fontId="3" fillId="21" borderId="46" xfId="0" applyFont="1" applyFill="1" applyBorder="1"/>
    <xf numFmtId="0" fontId="3" fillId="9" borderId="14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3" fillId="10" borderId="37" xfId="0" applyFont="1" applyFill="1" applyBorder="1" applyAlignment="1">
      <alignment horizontal="center" vertical="center" wrapText="1"/>
    </xf>
    <xf numFmtId="0" fontId="3" fillId="10" borderId="38" xfId="0" applyFont="1" applyFill="1" applyBorder="1" applyAlignment="1">
      <alignment horizontal="center" vertical="center" wrapText="1"/>
    </xf>
    <xf numFmtId="0" fontId="3" fillId="15" borderId="43" xfId="0" applyFont="1" applyFill="1" applyBorder="1" applyAlignment="1">
      <alignment horizontal="center" vertical="center" wrapText="1"/>
    </xf>
    <xf numFmtId="0" fontId="3" fillId="22" borderId="39" xfId="0" applyFont="1" applyFill="1" applyBorder="1" applyAlignment="1">
      <alignment horizontal="center" vertical="center" wrapText="1"/>
    </xf>
    <xf numFmtId="0" fontId="3" fillId="22" borderId="4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26" xfId="0" applyFont="1" applyFill="1" applyBorder="1" applyAlignment="1">
      <alignment horizontal="center"/>
    </xf>
    <xf numFmtId="0" fontId="11" fillId="12" borderId="23" xfId="0" applyFont="1" applyFill="1" applyBorder="1" applyAlignment="1">
      <alignment horizontal="center"/>
    </xf>
    <xf numFmtId="0" fontId="11" fillId="12" borderId="24" xfId="0" applyFont="1" applyFill="1" applyBorder="1" applyAlignment="1">
      <alignment horizontal="center"/>
    </xf>
    <xf numFmtId="0" fontId="8" fillId="8" borderId="29" xfId="0" applyFont="1" applyFill="1" applyBorder="1" applyAlignment="1">
      <alignment horizontal="center"/>
    </xf>
    <xf numFmtId="0" fontId="8" fillId="8" borderId="36" xfId="0" applyFont="1" applyFill="1" applyBorder="1" applyAlignment="1">
      <alignment horizontal="center"/>
    </xf>
    <xf numFmtId="0" fontId="11" fillId="12" borderId="29" xfId="0" applyFont="1" applyFill="1" applyBorder="1" applyAlignment="1">
      <alignment horizontal="center"/>
    </xf>
    <xf numFmtId="0" fontId="11" fillId="12" borderId="36" xfId="0" applyFont="1" applyFill="1" applyBorder="1" applyAlignment="1">
      <alignment horizontal="center"/>
    </xf>
    <xf numFmtId="0" fontId="11" fillId="12" borderId="30" xfId="0" applyFont="1" applyFill="1" applyBorder="1" applyAlignment="1">
      <alignment horizontal="center"/>
    </xf>
  </cellXfs>
  <cellStyles count="5">
    <cellStyle name="Comma" xfId="4" builtinId="3"/>
    <cellStyle name="Hyperlink 2" xfId="2" xr:uid="{27EE3EE4-7E72-485A-9013-CF3915E6962D}"/>
    <cellStyle name="Hyperlink 3" xfId="3" xr:uid="{404D0859-4108-4E79-9211-21AB6A0BB793}"/>
    <cellStyle name="Normal" xfId="0" builtinId="0"/>
    <cellStyle name="Normal 2" xfId="1" xr:uid="{A53F5D57-8CD3-405C-B8DD-B76D001D1484}"/>
  </cellStyles>
  <dxfs count="5"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AEB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uditor%20RSM%20Data\To%20be%20Consider\01%20Jan-2026\CV%20Price%20List%20D.%2009.01.2026.xlsx" TargetMode="External"/><Relationship Id="rId1" Type="http://schemas.openxmlformats.org/officeDocument/2006/relationships/externalLinkPath" Target="CV%20Price%20List%20D.%2009.01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uditor%20RSM%20Data\To%20be%20Consider\01%20Jan-2026\Consumer%20Scheme%20Jan-26.xlsx" TargetMode="External"/><Relationship Id="rId1" Type="http://schemas.openxmlformats.org/officeDocument/2006/relationships/externalLinkPath" Target="Consumer%20Scheme%20Jan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VEHICLE MODEL</v>
          </cell>
          <cell r="C1" t="str">
            <v>Ex-Showroom Price</v>
          </cell>
          <cell r="D1" t="str">
            <v>TCS</v>
          </cell>
          <cell r="E1" t="str">
            <v>Comprehensive + Zero
Dep. Insurance</v>
          </cell>
          <cell r="F1" t="str">
            <v>R.T.O. Charges With
Hypo.</v>
          </cell>
          <cell r="G1" t="str">
            <v>RSA (Road Side
Assistance) For 1
Year</v>
          </cell>
          <cell r="H1" t="str">
            <v>SMC Road - Tax (If
Applicable)</v>
          </cell>
          <cell r="I1" t="str">
            <v>MAXI CARE</v>
          </cell>
          <cell r="J1" t="str">
            <v>Accessories</v>
          </cell>
          <cell r="K1" t="str">
            <v>ON ROAD PRICE
With SMC Road Tax</v>
          </cell>
          <cell r="L1" t="str">
            <v>ON ROAD PRICE
Without SMC Road
Tax</v>
          </cell>
        </row>
        <row r="2">
          <cell r="B2" t="str">
            <v>BOL MAXX PUP HD 1.7 LX CBC</v>
          </cell>
          <cell r="C2">
            <v>902000</v>
          </cell>
          <cell r="D2">
            <v>0</v>
          </cell>
          <cell r="E2">
            <v>50233</v>
          </cell>
          <cell r="F2">
            <v>49114</v>
          </cell>
          <cell r="G2">
            <v>1519</v>
          </cell>
          <cell r="H2">
            <v>22550</v>
          </cell>
          <cell r="I2">
            <v>3500</v>
          </cell>
          <cell r="J2">
            <v>12000</v>
          </cell>
          <cell r="K2">
            <v>1040916</v>
          </cell>
          <cell r="L2">
            <v>1018366</v>
          </cell>
        </row>
        <row r="3">
          <cell r="B3" t="str">
            <v>BOL MAXX PUP HD 1.7 LX</v>
          </cell>
          <cell r="C3">
            <v>926900</v>
          </cell>
          <cell r="D3">
            <v>0</v>
          </cell>
          <cell r="E3">
            <v>51048</v>
          </cell>
          <cell r="F3">
            <v>49781</v>
          </cell>
          <cell r="G3">
            <v>1519</v>
          </cell>
          <cell r="H3">
            <v>23173</v>
          </cell>
          <cell r="I3">
            <v>3500</v>
          </cell>
          <cell r="J3">
            <v>12000</v>
          </cell>
          <cell r="K3">
            <v>1067920</v>
          </cell>
          <cell r="L3">
            <v>1044748</v>
          </cell>
        </row>
        <row r="4">
          <cell r="B4" t="str">
            <v>BOL MAXX PUP HD 1.7 VXI</v>
          </cell>
          <cell r="C4">
            <v>951600</v>
          </cell>
          <cell r="D4">
            <v>0</v>
          </cell>
          <cell r="E4">
            <v>51826</v>
          </cell>
          <cell r="F4">
            <v>51036</v>
          </cell>
          <cell r="G4">
            <v>1519</v>
          </cell>
          <cell r="H4">
            <v>23790</v>
          </cell>
          <cell r="I4">
            <v>3500</v>
          </cell>
          <cell r="J4">
            <v>12000</v>
          </cell>
          <cell r="K4">
            <v>1095272</v>
          </cell>
          <cell r="L4">
            <v>1071482</v>
          </cell>
        </row>
        <row r="5">
          <cell r="B5" t="str">
            <v>BOL MAXX PUP HD 1.7 VXI AC</v>
          </cell>
          <cell r="C5">
            <v>968201</v>
          </cell>
          <cell r="D5">
            <v>0</v>
          </cell>
          <cell r="E5">
            <v>52396</v>
          </cell>
          <cell r="F5">
            <v>51881</v>
          </cell>
          <cell r="G5">
            <v>1519</v>
          </cell>
          <cell r="H5">
            <v>24205</v>
          </cell>
          <cell r="I5">
            <v>3500</v>
          </cell>
          <cell r="J5">
            <v>12000</v>
          </cell>
          <cell r="K5">
            <v>1113702</v>
          </cell>
          <cell r="L5">
            <v>1089497</v>
          </cell>
        </row>
        <row r="6">
          <cell r="B6" t="str">
            <v>BOL MAXX PUP HD 1.7 MX</v>
          </cell>
          <cell r="C6">
            <v>954400</v>
          </cell>
          <cell r="D6">
            <v>0</v>
          </cell>
          <cell r="E6">
            <v>51947</v>
          </cell>
          <cell r="F6">
            <v>51179</v>
          </cell>
          <cell r="G6">
            <v>1519</v>
          </cell>
          <cell r="H6">
            <v>23860</v>
          </cell>
          <cell r="I6">
            <v>3500</v>
          </cell>
          <cell r="J6">
            <v>12000</v>
          </cell>
          <cell r="K6">
            <v>1098404</v>
          </cell>
          <cell r="L6">
            <v>1074544</v>
          </cell>
        </row>
        <row r="7">
          <cell r="B7" t="str">
            <v>BOL MAXX PUP HD 1.7L LX</v>
          </cell>
          <cell r="C7">
            <v>949800</v>
          </cell>
          <cell r="D7">
            <v>0</v>
          </cell>
          <cell r="E7">
            <v>51795</v>
          </cell>
          <cell r="F7">
            <v>50945</v>
          </cell>
          <cell r="G7">
            <v>1519</v>
          </cell>
          <cell r="H7">
            <v>23745</v>
          </cell>
          <cell r="I7">
            <v>3500</v>
          </cell>
          <cell r="J7">
            <v>12000</v>
          </cell>
          <cell r="K7">
            <v>1093304</v>
          </cell>
          <cell r="L7">
            <v>1069559</v>
          </cell>
        </row>
        <row r="8">
          <cell r="B8" t="str">
            <v>BOL MAXX PUP HD 1.7L VXI</v>
          </cell>
          <cell r="C8">
            <v>962700</v>
          </cell>
          <cell r="D8">
            <v>0</v>
          </cell>
          <cell r="E8">
            <v>52160</v>
          </cell>
          <cell r="F8">
            <v>51601</v>
          </cell>
          <cell r="G8">
            <v>1519</v>
          </cell>
          <cell r="H8">
            <v>24068</v>
          </cell>
          <cell r="I8">
            <v>3500</v>
          </cell>
          <cell r="J8">
            <v>12000</v>
          </cell>
          <cell r="K8">
            <v>1107548</v>
          </cell>
          <cell r="L8">
            <v>1083480</v>
          </cell>
        </row>
        <row r="9">
          <cell r="B9" t="str">
            <v>BOL MAXX PUP HD 1.7L MX</v>
          </cell>
          <cell r="C9">
            <v>977300</v>
          </cell>
          <cell r="D9">
            <v>0</v>
          </cell>
          <cell r="E9">
            <v>52694</v>
          </cell>
          <cell r="F9">
            <v>52343</v>
          </cell>
          <cell r="G9">
            <v>1519</v>
          </cell>
          <cell r="H9">
            <v>24433</v>
          </cell>
          <cell r="I9">
            <v>3500</v>
          </cell>
          <cell r="J9">
            <v>12000</v>
          </cell>
          <cell r="K9">
            <v>1123789</v>
          </cell>
          <cell r="L9">
            <v>1099356</v>
          </cell>
        </row>
        <row r="10">
          <cell r="B10" t="str">
            <v>BOL MAXX PUP HD 1.7L SXI AC</v>
          </cell>
          <cell r="C10">
            <v>977300</v>
          </cell>
          <cell r="D10">
            <v>0</v>
          </cell>
          <cell r="E10">
            <v>52694</v>
          </cell>
          <cell r="F10">
            <v>52343</v>
          </cell>
          <cell r="G10">
            <v>1519</v>
          </cell>
          <cell r="H10">
            <v>24433</v>
          </cell>
          <cell r="I10">
            <v>3500</v>
          </cell>
          <cell r="J10">
            <v>12000</v>
          </cell>
          <cell r="K10">
            <v>1123789</v>
          </cell>
          <cell r="L10">
            <v>1099356</v>
          </cell>
        </row>
        <row r="11">
          <cell r="B11" t="str">
            <v>BOL MAXX PUP HD 2.0L LX CBC</v>
          </cell>
          <cell r="C11">
            <v>981800</v>
          </cell>
          <cell r="D11">
            <v>0</v>
          </cell>
          <cell r="E11">
            <v>52735</v>
          </cell>
          <cell r="F11">
            <v>53172</v>
          </cell>
          <cell r="G11">
            <v>1519</v>
          </cell>
          <cell r="H11">
            <v>24545</v>
          </cell>
          <cell r="I11">
            <v>3500</v>
          </cell>
          <cell r="J11">
            <v>12000</v>
          </cell>
          <cell r="K11">
            <v>1129271</v>
          </cell>
          <cell r="L11">
            <v>1104726</v>
          </cell>
        </row>
        <row r="12">
          <cell r="B12" t="str">
            <v>BOL MAXX PUP HD 2.0L LX</v>
          </cell>
          <cell r="C12">
            <v>1015000</v>
          </cell>
          <cell r="D12">
            <v>10150</v>
          </cell>
          <cell r="E12">
            <v>53735</v>
          </cell>
          <cell r="F12">
            <v>54260</v>
          </cell>
          <cell r="G12">
            <v>1519</v>
          </cell>
          <cell r="H12">
            <v>35525</v>
          </cell>
          <cell r="I12">
            <v>3500</v>
          </cell>
          <cell r="J12">
            <v>12000</v>
          </cell>
          <cell r="K12">
            <v>1185689</v>
          </cell>
          <cell r="L12">
            <v>1150164</v>
          </cell>
        </row>
        <row r="13">
          <cell r="B13" t="str">
            <v>BOL MAXX PUP HD 2.0L VXI</v>
          </cell>
          <cell r="C13">
            <v>1034200</v>
          </cell>
          <cell r="D13">
            <v>10342</v>
          </cell>
          <cell r="E13">
            <v>54312</v>
          </cell>
          <cell r="F13">
            <v>55236</v>
          </cell>
          <cell r="G13">
            <v>1519</v>
          </cell>
          <cell r="H13">
            <v>36197</v>
          </cell>
          <cell r="I13">
            <v>3500</v>
          </cell>
          <cell r="J13">
            <v>12000</v>
          </cell>
          <cell r="K13">
            <v>1207307</v>
          </cell>
          <cell r="L13">
            <v>1171110</v>
          </cell>
        </row>
        <row r="14">
          <cell r="B14" t="str">
            <v>BOL MAXX PUP HD 2.0L MX</v>
          </cell>
          <cell r="C14">
            <v>1038800</v>
          </cell>
          <cell r="D14">
            <v>10388</v>
          </cell>
          <cell r="E14">
            <v>54451</v>
          </cell>
          <cell r="F14">
            <v>55470</v>
          </cell>
          <cell r="G14">
            <v>1519</v>
          </cell>
          <cell r="H14">
            <v>36358</v>
          </cell>
          <cell r="I14">
            <v>3500</v>
          </cell>
          <cell r="J14">
            <v>12000</v>
          </cell>
          <cell r="K14">
            <v>1212487</v>
          </cell>
          <cell r="L14">
            <v>1176129</v>
          </cell>
        </row>
        <row r="15">
          <cell r="B15" t="str">
            <v>BOL MAXX PUP HD 2.0L VXI AC</v>
          </cell>
          <cell r="C15">
            <v>1051700</v>
          </cell>
          <cell r="D15">
            <v>10517</v>
          </cell>
          <cell r="E15">
            <v>55125</v>
          </cell>
          <cell r="F15">
            <v>56126</v>
          </cell>
          <cell r="G15">
            <v>1519</v>
          </cell>
          <cell r="H15">
            <v>36809</v>
          </cell>
          <cell r="I15">
            <v>3500</v>
          </cell>
          <cell r="J15">
            <v>12000</v>
          </cell>
          <cell r="K15">
            <v>1227296</v>
          </cell>
          <cell r="L15">
            <v>1190487</v>
          </cell>
        </row>
        <row r="16">
          <cell r="B16" t="str">
            <v>BOL MAXX PUP HD 2.0L SXI AC CBC</v>
          </cell>
          <cell r="C16">
            <v>991000</v>
          </cell>
          <cell r="D16">
            <v>0</v>
          </cell>
          <cell r="E16">
            <v>53142</v>
          </cell>
          <cell r="F16">
            <v>53640</v>
          </cell>
          <cell r="G16">
            <v>1519</v>
          </cell>
          <cell r="H16">
            <v>24775</v>
          </cell>
          <cell r="I16">
            <v>3500</v>
          </cell>
          <cell r="J16">
            <v>12000</v>
          </cell>
          <cell r="K16">
            <v>1139576</v>
          </cell>
          <cell r="L16">
            <v>1114801</v>
          </cell>
        </row>
        <row r="17">
          <cell r="B17" t="str">
            <v>BOL MAXX PUP HD 2.0L SXI AC</v>
          </cell>
          <cell r="C17">
            <v>1024100</v>
          </cell>
          <cell r="D17">
            <v>10241</v>
          </cell>
          <cell r="E17">
            <v>54223</v>
          </cell>
          <cell r="F17">
            <v>54723</v>
          </cell>
          <cell r="G17">
            <v>1519</v>
          </cell>
          <cell r="H17">
            <v>35844</v>
          </cell>
          <cell r="I17">
            <v>3500</v>
          </cell>
          <cell r="J17">
            <v>12000</v>
          </cell>
          <cell r="K17">
            <v>1196150</v>
          </cell>
          <cell r="L17">
            <v>1160306</v>
          </cell>
        </row>
        <row r="18">
          <cell r="B18" t="str">
            <v>BOL MAXX PUP HD 1.3 LX</v>
          </cell>
          <cell r="C18">
            <v>916700</v>
          </cell>
          <cell r="D18">
            <v>0</v>
          </cell>
          <cell r="E18">
            <v>50714</v>
          </cell>
          <cell r="F18">
            <v>48912</v>
          </cell>
          <cell r="G18">
            <v>1519</v>
          </cell>
          <cell r="H18">
            <v>22918</v>
          </cell>
          <cell r="I18">
            <v>3500</v>
          </cell>
          <cell r="J18">
            <v>12000</v>
          </cell>
          <cell r="K18">
            <v>1056262</v>
          </cell>
          <cell r="L18">
            <v>1033345</v>
          </cell>
        </row>
        <row r="19">
          <cell r="B19" t="str">
            <v>BOL MAXX PUP HD 1.3 VXID AC</v>
          </cell>
          <cell r="C19">
            <v>962600</v>
          </cell>
          <cell r="D19">
            <v>0</v>
          </cell>
          <cell r="E19">
            <v>52213</v>
          </cell>
          <cell r="F19">
            <v>51246</v>
          </cell>
          <cell r="G19">
            <v>1519</v>
          </cell>
          <cell r="H19">
            <v>24065</v>
          </cell>
          <cell r="I19">
            <v>3500</v>
          </cell>
          <cell r="J19">
            <v>12000</v>
          </cell>
          <cell r="K19">
            <v>1107143</v>
          </cell>
          <cell r="L19">
            <v>1083078</v>
          </cell>
        </row>
        <row r="20">
          <cell r="B20" t="str">
            <v>BOL MAXX PUP HD LX CNG</v>
          </cell>
          <cell r="C20">
            <v>958101</v>
          </cell>
          <cell r="D20">
            <v>0</v>
          </cell>
          <cell r="E20">
            <v>52372</v>
          </cell>
          <cell r="F20">
            <v>51017</v>
          </cell>
          <cell r="G20">
            <v>1519</v>
          </cell>
          <cell r="H20">
            <v>14372</v>
          </cell>
          <cell r="I20">
            <v>3500</v>
          </cell>
          <cell r="J20">
            <v>12000</v>
          </cell>
          <cell r="K20">
            <v>1092880</v>
          </cell>
          <cell r="L20">
            <v>1078509</v>
          </cell>
        </row>
        <row r="21">
          <cell r="B21" t="str">
            <v>MAXX HD 1.9 Vxi CNG BS6.2</v>
          </cell>
          <cell r="C21">
            <v>1026900</v>
          </cell>
          <cell r="D21">
            <v>10269</v>
          </cell>
          <cell r="E21">
            <v>54318</v>
          </cell>
          <cell r="F21">
            <v>54865</v>
          </cell>
          <cell r="G21">
            <v>1519</v>
          </cell>
          <cell r="H21">
            <v>25673</v>
          </cell>
          <cell r="I21">
            <v>3500</v>
          </cell>
          <cell r="J21">
            <v>12000</v>
          </cell>
          <cell r="K21">
            <v>1189043</v>
          </cell>
          <cell r="L21">
            <v>1163371</v>
          </cell>
        </row>
        <row r="22">
          <cell r="B22" t="str">
            <v>BOL MAXX PUP CITY 1.3 LX CBC</v>
          </cell>
          <cell r="C22">
            <v>763499</v>
          </cell>
          <cell r="D22">
            <v>0</v>
          </cell>
          <cell r="E22">
            <v>46629</v>
          </cell>
          <cell r="F22">
            <v>41722</v>
          </cell>
          <cell r="G22">
            <v>1519</v>
          </cell>
          <cell r="H22">
            <v>19087</v>
          </cell>
          <cell r="I22">
            <v>3500</v>
          </cell>
          <cell r="J22">
            <v>12000</v>
          </cell>
          <cell r="K22">
            <v>887957</v>
          </cell>
          <cell r="L22">
            <v>868869</v>
          </cell>
        </row>
        <row r="23">
          <cell r="B23" t="str">
            <v>BOL MAXX PUP CITY 1.3 LX</v>
          </cell>
          <cell r="C23">
            <v>772700</v>
          </cell>
          <cell r="D23">
            <v>0</v>
          </cell>
          <cell r="E23">
            <v>46940</v>
          </cell>
          <cell r="F23">
            <v>41590</v>
          </cell>
          <cell r="G23">
            <v>1519</v>
          </cell>
          <cell r="H23">
            <v>19318</v>
          </cell>
          <cell r="I23">
            <v>3500</v>
          </cell>
          <cell r="J23">
            <v>12000</v>
          </cell>
          <cell r="K23">
            <v>897566</v>
          </cell>
          <cell r="L23">
            <v>878249</v>
          </cell>
        </row>
        <row r="24">
          <cell r="B24" t="str">
            <v>BOL MAXX PUP CITY 1.3 VXID</v>
          </cell>
          <cell r="C24">
            <v>791000</v>
          </cell>
          <cell r="D24">
            <v>0</v>
          </cell>
          <cell r="E24">
            <v>47343</v>
          </cell>
          <cell r="F24">
            <v>42520</v>
          </cell>
          <cell r="G24">
            <v>1519</v>
          </cell>
          <cell r="H24">
            <v>19775</v>
          </cell>
          <cell r="I24">
            <v>3500</v>
          </cell>
          <cell r="J24">
            <v>12000</v>
          </cell>
          <cell r="K24">
            <v>917657</v>
          </cell>
          <cell r="L24">
            <v>897882</v>
          </cell>
        </row>
        <row r="25">
          <cell r="B25" t="str">
            <v>BOL MAXX PUP CITY 1.3 VXID AC</v>
          </cell>
          <cell r="C25">
            <v>809400</v>
          </cell>
          <cell r="D25">
            <v>0</v>
          </cell>
          <cell r="E25">
            <v>48178</v>
          </cell>
          <cell r="F25">
            <v>43456</v>
          </cell>
          <cell r="G25">
            <v>1519</v>
          </cell>
          <cell r="H25">
            <v>20235</v>
          </cell>
          <cell r="I25">
            <v>3500</v>
          </cell>
          <cell r="J25">
            <v>12000</v>
          </cell>
          <cell r="K25">
            <v>938288</v>
          </cell>
          <cell r="L25">
            <v>918053</v>
          </cell>
        </row>
        <row r="26">
          <cell r="B26" t="str">
            <v>BOL MAXX PUP CITY 1.3 SXI AC</v>
          </cell>
          <cell r="C26">
            <v>800199</v>
          </cell>
          <cell r="D26">
            <v>0</v>
          </cell>
          <cell r="E26">
            <v>47869</v>
          </cell>
          <cell r="F26">
            <v>42988</v>
          </cell>
          <cell r="G26">
            <v>1519</v>
          </cell>
          <cell r="H26">
            <v>20005</v>
          </cell>
          <cell r="I26">
            <v>3500</v>
          </cell>
          <cell r="J26">
            <v>12000</v>
          </cell>
          <cell r="K26">
            <v>928080</v>
          </cell>
          <cell r="L26">
            <v>908075</v>
          </cell>
        </row>
        <row r="27">
          <cell r="B27" t="str">
            <v>BOL MAXX PUP CITY 1.3 MXD</v>
          </cell>
          <cell r="C27">
            <v>795600</v>
          </cell>
          <cell r="D27">
            <v>0</v>
          </cell>
          <cell r="E27">
            <v>47715</v>
          </cell>
          <cell r="F27">
            <v>42754</v>
          </cell>
          <cell r="G27">
            <v>1519</v>
          </cell>
          <cell r="H27">
            <v>19890</v>
          </cell>
          <cell r="I27">
            <v>3500</v>
          </cell>
          <cell r="J27">
            <v>12000</v>
          </cell>
          <cell r="K27">
            <v>922978</v>
          </cell>
          <cell r="L27">
            <v>903088</v>
          </cell>
        </row>
        <row r="28">
          <cell r="B28" t="str">
            <v>BOL MAXX PUP CITY LX CNG</v>
          </cell>
          <cell r="C28">
            <v>793900</v>
          </cell>
          <cell r="D28">
            <v>0</v>
          </cell>
          <cell r="E28">
            <v>47658</v>
          </cell>
          <cell r="F28">
            <v>42668</v>
          </cell>
          <cell r="G28">
            <v>1519</v>
          </cell>
          <cell r="H28">
            <v>11908</v>
          </cell>
          <cell r="I28">
            <v>3500</v>
          </cell>
          <cell r="J28">
            <v>12000</v>
          </cell>
          <cell r="K28">
            <v>913153</v>
          </cell>
          <cell r="L28">
            <v>901245</v>
          </cell>
        </row>
        <row r="29">
          <cell r="B29" t="str">
            <v>BOL PIK UP FB 1.3T - BS6.2 - PS</v>
          </cell>
          <cell r="C29">
            <v>962800</v>
          </cell>
          <cell r="D29">
            <v>0</v>
          </cell>
          <cell r="E29">
            <v>52222</v>
          </cell>
          <cell r="F29">
            <v>51256</v>
          </cell>
          <cell r="G29">
            <v>1519</v>
          </cell>
          <cell r="H29">
            <v>24070</v>
          </cell>
          <cell r="I29">
            <v>3500</v>
          </cell>
          <cell r="J29">
            <v>12000</v>
          </cell>
          <cell r="K29">
            <v>1107368</v>
          </cell>
          <cell r="L29">
            <v>1083298</v>
          </cell>
        </row>
        <row r="30">
          <cell r="B30" t="str">
            <v>BOL PIK UP FB 1.3T - BS6.2 - PS AC</v>
          </cell>
          <cell r="C30">
            <v>985700</v>
          </cell>
          <cell r="D30">
            <v>0</v>
          </cell>
          <cell r="E30">
            <v>52969</v>
          </cell>
          <cell r="F30">
            <v>52420</v>
          </cell>
          <cell r="G30">
            <v>1519</v>
          </cell>
          <cell r="H30">
            <v>24643</v>
          </cell>
          <cell r="I30">
            <v>3500</v>
          </cell>
          <cell r="J30">
            <v>12000</v>
          </cell>
          <cell r="K30">
            <v>1132751</v>
          </cell>
          <cell r="L30">
            <v>1108109</v>
          </cell>
        </row>
        <row r="31">
          <cell r="B31" t="str">
            <v>BOL CAMPER 2WD POWER STEERING BS6.2 - NEW</v>
          </cell>
          <cell r="C31">
            <v>970000</v>
          </cell>
          <cell r="D31">
            <v>0</v>
          </cell>
          <cell r="E31">
            <v>53339</v>
          </cell>
          <cell r="F31">
            <v>51622</v>
          </cell>
          <cell r="G31">
            <v>1519</v>
          </cell>
          <cell r="H31">
            <v>24250</v>
          </cell>
          <cell r="I31">
            <v>3500</v>
          </cell>
          <cell r="J31">
            <v>16000</v>
          </cell>
          <cell r="K31">
            <v>1120230</v>
          </cell>
          <cell r="L31">
            <v>1095980</v>
          </cell>
        </row>
        <row r="32">
          <cell r="B32" t="str">
            <v>BOL CAMPER 2WD POWER STEERING BS6.2 - CV</v>
          </cell>
          <cell r="C32">
            <v>885500</v>
          </cell>
          <cell r="D32">
            <v>0</v>
          </cell>
          <cell r="E32">
            <v>49695</v>
          </cell>
          <cell r="F32">
            <v>47325</v>
          </cell>
          <cell r="G32">
            <v>1519</v>
          </cell>
          <cell r="H32">
            <v>22137</v>
          </cell>
          <cell r="I32">
            <v>3500</v>
          </cell>
          <cell r="J32">
            <v>16000</v>
          </cell>
          <cell r="K32">
            <v>1025677</v>
          </cell>
          <cell r="L32">
            <v>1003539</v>
          </cell>
        </row>
        <row r="33">
          <cell r="B33" t="str">
            <v>BOL CAMPER 4WD POWER STEERING BS6.2 - NEW</v>
          </cell>
          <cell r="C33">
            <v>997700</v>
          </cell>
          <cell r="D33">
            <v>0</v>
          </cell>
          <cell r="E33">
            <v>53362</v>
          </cell>
          <cell r="F33">
            <v>53031</v>
          </cell>
          <cell r="G33">
            <v>1519</v>
          </cell>
          <cell r="H33">
            <v>24943</v>
          </cell>
          <cell r="I33">
            <v>3500</v>
          </cell>
          <cell r="J33">
            <v>16000</v>
          </cell>
          <cell r="K33">
            <v>1150054</v>
          </cell>
          <cell r="L33">
            <v>1125112</v>
          </cell>
        </row>
        <row r="34">
          <cell r="B34" t="str">
            <v>BOL CAMPER GOLD ZX 2WD BS6.2 - NEW</v>
          </cell>
          <cell r="C34">
            <v>999900</v>
          </cell>
          <cell r="D34">
            <v>0</v>
          </cell>
          <cell r="E34">
            <v>53432</v>
          </cell>
          <cell r="F34">
            <v>53142</v>
          </cell>
          <cell r="G34">
            <v>1519</v>
          </cell>
          <cell r="H34">
            <v>24997</v>
          </cell>
          <cell r="I34">
            <v>3500</v>
          </cell>
          <cell r="J34">
            <v>14000</v>
          </cell>
          <cell r="K34">
            <v>1150491</v>
          </cell>
          <cell r="L34">
            <v>1125493</v>
          </cell>
        </row>
        <row r="35">
          <cell r="B35" t="str">
            <v>BOL CAMPER GOLD VX 2WD POWER STEERING BS6.2 - CV</v>
          </cell>
          <cell r="C35">
            <v>922200</v>
          </cell>
          <cell r="D35">
            <v>0</v>
          </cell>
          <cell r="E35">
            <v>50896</v>
          </cell>
          <cell r="F35">
            <v>49192</v>
          </cell>
          <cell r="G35">
            <v>1519</v>
          </cell>
          <cell r="H35">
            <v>23055</v>
          </cell>
          <cell r="I35">
            <v>3500</v>
          </cell>
          <cell r="J35">
            <v>14000</v>
          </cell>
          <cell r="K35">
            <v>1064361</v>
          </cell>
          <cell r="L35">
            <v>1041306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umer Scheme 08.01.2026"/>
    </sheetNames>
    <sheetDataSet>
      <sheetData sheetId="0">
        <row r="2">
          <cell r="B2" t="str">
            <v>Variant</v>
          </cell>
          <cell r="C2" t="str">
            <v>M&amp;M Scheme
@ BNDP (2026)</v>
          </cell>
          <cell r="D2" t="str">
            <v>Total M&amp;M
Scheme with
GST (2026)</v>
          </cell>
          <cell r="E2" t="str">
            <v>Cash
Discount (2026)</v>
          </cell>
          <cell r="F2" t="str">
            <v>M&amp;M Scheme
@ BNDP (2025)</v>
          </cell>
          <cell r="G2" t="str">
            <v>M&amp;M
Scheme with
GST (2025)</v>
          </cell>
          <cell r="H2" t="str">
            <v>Dealer
Contribution
with GST (2025)</v>
          </cell>
          <cell r="I2" t="str">
            <v>Total Consumer
Scheme with GST
(M&amp;M + Dealer) (2025)</v>
          </cell>
        </row>
        <row r="3">
          <cell r="B3" t="str">
            <v>B4 BS6.2</v>
          </cell>
          <cell r="C3">
            <v>0</v>
          </cell>
          <cell r="D3">
            <v>0</v>
          </cell>
          <cell r="E3">
            <v>0</v>
          </cell>
          <cell r="F3">
            <v>46610</v>
          </cell>
          <cell r="G3">
            <v>55000</v>
          </cell>
          <cell r="H3">
            <v>10000</v>
          </cell>
          <cell r="I3">
            <v>65000</v>
          </cell>
        </row>
        <row r="4">
          <cell r="B4" t="str">
            <v>B4 BS6.2 - Refresh</v>
          </cell>
          <cell r="C4">
            <v>0</v>
          </cell>
          <cell r="D4">
            <v>0</v>
          </cell>
          <cell r="E4">
            <v>0</v>
          </cell>
          <cell r="F4">
            <v>8475</v>
          </cell>
          <cell r="G4">
            <v>10000</v>
          </cell>
          <cell r="H4">
            <v>10000</v>
          </cell>
          <cell r="I4">
            <v>20000</v>
          </cell>
        </row>
        <row r="5">
          <cell r="B5" t="str">
            <v>B6 BS6.2</v>
          </cell>
          <cell r="C5">
            <v>0</v>
          </cell>
          <cell r="D5">
            <v>0</v>
          </cell>
          <cell r="E5">
            <v>0</v>
          </cell>
          <cell r="F5">
            <v>46610</v>
          </cell>
          <cell r="G5">
            <v>55000</v>
          </cell>
          <cell r="H5">
            <v>10000</v>
          </cell>
          <cell r="I5">
            <v>65000</v>
          </cell>
        </row>
        <row r="6">
          <cell r="B6" t="str">
            <v>B6 BS6.2 - Refresh</v>
          </cell>
          <cell r="C6">
            <v>0</v>
          </cell>
          <cell r="D6">
            <v>0</v>
          </cell>
          <cell r="E6">
            <v>0</v>
          </cell>
          <cell r="F6">
            <v>8475</v>
          </cell>
          <cell r="G6">
            <v>10000</v>
          </cell>
          <cell r="H6">
            <v>10000</v>
          </cell>
          <cell r="I6">
            <v>20000</v>
          </cell>
        </row>
        <row r="7">
          <cell r="B7" t="str">
            <v>B6 OPT BS6.2</v>
          </cell>
          <cell r="C7">
            <v>0</v>
          </cell>
          <cell r="D7">
            <v>0</v>
          </cell>
          <cell r="E7">
            <v>0</v>
          </cell>
          <cell r="F7">
            <v>93220</v>
          </cell>
          <cell r="G7">
            <v>110000</v>
          </cell>
          <cell r="H7">
            <v>10000</v>
          </cell>
          <cell r="I7">
            <v>120000</v>
          </cell>
        </row>
        <row r="8">
          <cell r="B8" t="str">
            <v>B6 OPT BS6.2 - Refresh</v>
          </cell>
          <cell r="C8">
            <v>0</v>
          </cell>
          <cell r="D8">
            <v>0</v>
          </cell>
          <cell r="E8">
            <v>0</v>
          </cell>
          <cell r="F8">
            <v>8475</v>
          </cell>
          <cell r="G8">
            <v>10000</v>
          </cell>
          <cell r="H8">
            <v>10000</v>
          </cell>
          <cell r="I8">
            <v>20000</v>
          </cell>
        </row>
        <row r="9">
          <cell r="B9" t="str">
            <v>B8 BS6.2 - Refresh</v>
          </cell>
          <cell r="C9">
            <v>0</v>
          </cell>
          <cell r="D9">
            <v>0</v>
          </cell>
          <cell r="E9">
            <v>0</v>
          </cell>
          <cell r="F9">
            <v>8475</v>
          </cell>
          <cell r="G9">
            <v>10000</v>
          </cell>
          <cell r="H9">
            <v>10000</v>
          </cell>
          <cell r="I9">
            <v>20000</v>
          </cell>
        </row>
        <row r="10">
          <cell r="B10" t="str">
            <v>N10 BS6.2 - R</v>
          </cell>
          <cell r="C10">
            <v>0</v>
          </cell>
          <cell r="D10">
            <v>0</v>
          </cell>
          <cell r="E10">
            <v>0</v>
          </cell>
          <cell r="F10">
            <v>97458</v>
          </cell>
          <cell r="G10">
            <v>115000</v>
          </cell>
          <cell r="H10">
            <v>10000</v>
          </cell>
          <cell r="I10">
            <v>125000</v>
          </cell>
        </row>
        <row r="11">
          <cell r="B11" t="str">
            <v>N10 BS6.2 - R - Refresh</v>
          </cell>
          <cell r="C11">
            <v>0</v>
          </cell>
          <cell r="D11">
            <v>0</v>
          </cell>
          <cell r="E11">
            <v>0</v>
          </cell>
          <cell r="F11">
            <v>8475</v>
          </cell>
          <cell r="G11">
            <v>10000</v>
          </cell>
          <cell r="H11">
            <v>10000</v>
          </cell>
          <cell r="I11">
            <v>20000</v>
          </cell>
        </row>
        <row r="12">
          <cell r="B12" t="str">
            <v>N10 OPT BS6.2</v>
          </cell>
          <cell r="C12">
            <v>0</v>
          </cell>
          <cell r="D12">
            <v>0</v>
          </cell>
          <cell r="E12">
            <v>0</v>
          </cell>
          <cell r="F12">
            <v>97458</v>
          </cell>
          <cell r="G12">
            <v>115000</v>
          </cell>
          <cell r="H12">
            <v>10000</v>
          </cell>
          <cell r="I12">
            <v>125000</v>
          </cell>
        </row>
        <row r="13">
          <cell r="B13" t="str">
            <v>N10 OPT BS6.2 - Refresh</v>
          </cell>
          <cell r="C13">
            <v>0</v>
          </cell>
          <cell r="D13">
            <v>0</v>
          </cell>
          <cell r="E13">
            <v>0</v>
          </cell>
          <cell r="F13">
            <v>8475</v>
          </cell>
          <cell r="G13">
            <v>10000</v>
          </cell>
          <cell r="H13">
            <v>10000</v>
          </cell>
          <cell r="I13">
            <v>20000</v>
          </cell>
        </row>
        <row r="14">
          <cell r="B14" t="str">
            <v>N11 BS6.2 - Refresh</v>
          </cell>
          <cell r="C14">
            <v>0</v>
          </cell>
          <cell r="D14">
            <v>0</v>
          </cell>
          <cell r="E14">
            <v>0</v>
          </cell>
          <cell r="F14">
            <v>8475</v>
          </cell>
          <cell r="G14">
            <v>10000</v>
          </cell>
          <cell r="H14">
            <v>10000</v>
          </cell>
          <cell r="I14">
            <v>20000</v>
          </cell>
        </row>
        <row r="15">
          <cell r="B15" t="str">
            <v>N4 BS6.2</v>
          </cell>
          <cell r="C15">
            <v>0</v>
          </cell>
          <cell r="D15">
            <v>0</v>
          </cell>
          <cell r="E15">
            <v>0</v>
          </cell>
          <cell r="F15">
            <v>50847</v>
          </cell>
          <cell r="G15">
            <v>60000</v>
          </cell>
          <cell r="H15">
            <v>10000</v>
          </cell>
          <cell r="I15">
            <v>70000</v>
          </cell>
        </row>
        <row r="16">
          <cell r="B16" t="str">
            <v>N4 BS6.2 - Refresh</v>
          </cell>
          <cell r="C16">
            <v>0</v>
          </cell>
          <cell r="D16">
            <v>0</v>
          </cell>
          <cell r="E16">
            <v>0</v>
          </cell>
          <cell r="F16">
            <v>8475</v>
          </cell>
          <cell r="G16">
            <v>10000</v>
          </cell>
          <cell r="H16">
            <v>10000</v>
          </cell>
          <cell r="I16">
            <v>20000</v>
          </cell>
        </row>
        <row r="17">
          <cell r="B17" t="str">
            <v>N8 BS6.2</v>
          </cell>
          <cell r="C17">
            <v>0</v>
          </cell>
          <cell r="D17">
            <v>0</v>
          </cell>
          <cell r="E17">
            <v>0</v>
          </cell>
          <cell r="F17">
            <v>72034</v>
          </cell>
          <cell r="G17">
            <v>85000</v>
          </cell>
          <cell r="H17">
            <v>10000</v>
          </cell>
          <cell r="I17">
            <v>95000</v>
          </cell>
        </row>
        <row r="18">
          <cell r="B18" t="str">
            <v>N8 BS6.2 - Refresh</v>
          </cell>
          <cell r="C18">
            <v>0</v>
          </cell>
          <cell r="D18">
            <v>0</v>
          </cell>
          <cell r="E18">
            <v>0</v>
          </cell>
          <cell r="F18">
            <v>8475</v>
          </cell>
          <cell r="G18">
            <v>10000</v>
          </cell>
          <cell r="H18">
            <v>10000</v>
          </cell>
          <cell r="I18">
            <v>20000</v>
          </cell>
        </row>
        <row r="19">
          <cell r="B19" t="str">
            <v>P10 BS6.2</v>
          </cell>
          <cell r="C19">
            <v>17857</v>
          </cell>
          <cell r="D19">
            <v>25000</v>
          </cell>
          <cell r="E19">
            <v>21000</v>
          </cell>
          <cell r="F19">
            <v>17857</v>
          </cell>
          <cell r="G19">
            <v>25000</v>
          </cell>
          <cell r="H19">
            <v>5000</v>
          </cell>
          <cell r="I19">
            <v>30000</v>
          </cell>
        </row>
        <row r="20">
          <cell r="B20" t="str">
            <v>P4 AMBULANCE BS6.2</v>
          </cell>
          <cell r="C20">
            <v>42373</v>
          </cell>
          <cell r="D20">
            <v>50000</v>
          </cell>
          <cell r="E20">
            <v>50000</v>
          </cell>
          <cell r="F20">
            <v>67797</v>
          </cell>
          <cell r="G20">
            <v>80000</v>
          </cell>
          <cell r="H20">
            <v>10000</v>
          </cell>
          <cell r="I20">
            <v>90000</v>
          </cell>
        </row>
        <row r="21">
          <cell r="B21" t="str">
            <v>P4 BS6.2</v>
          </cell>
          <cell r="C21">
            <v>17857</v>
          </cell>
          <cell r="D21">
            <v>25000</v>
          </cell>
          <cell r="E21">
            <v>21000</v>
          </cell>
          <cell r="F21">
            <v>17857</v>
          </cell>
          <cell r="G21">
            <v>25000</v>
          </cell>
          <cell r="H21">
            <v>5000</v>
          </cell>
          <cell r="I21">
            <v>30000</v>
          </cell>
        </row>
        <row r="22">
          <cell r="B22" t="str">
            <v>M2 7 Str BS6.2</v>
          </cell>
          <cell r="C22">
            <v>0</v>
          </cell>
          <cell r="D22">
            <v>0</v>
          </cell>
          <cell r="E22">
            <v>0</v>
          </cell>
          <cell r="F22">
            <v>285714</v>
          </cell>
          <cell r="G22">
            <v>400000</v>
          </cell>
          <cell r="H22">
            <v>25000</v>
          </cell>
          <cell r="I22">
            <v>425000</v>
          </cell>
        </row>
        <row r="23">
          <cell r="B23" t="str">
            <v>M2 8 Str BS6.2</v>
          </cell>
          <cell r="C23">
            <v>0</v>
          </cell>
          <cell r="D23">
            <v>0</v>
          </cell>
          <cell r="E23">
            <v>0</v>
          </cell>
          <cell r="F23">
            <v>285714</v>
          </cell>
          <cell r="G23">
            <v>400000</v>
          </cell>
          <cell r="H23">
            <v>25000</v>
          </cell>
          <cell r="I23">
            <v>425000</v>
          </cell>
        </row>
        <row r="24">
          <cell r="B24" t="str">
            <v>M4+ 7 Str BS6.2</v>
          </cell>
          <cell r="C24">
            <v>0</v>
          </cell>
          <cell r="D24">
            <v>0</v>
          </cell>
          <cell r="E24">
            <v>0</v>
          </cell>
          <cell r="F24">
            <v>285714</v>
          </cell>
          <cell r="G24">
            <v>400000</v>
          </cell>
          <cell r="H24">
            <v>25000</v>
          </cell>
          <cell r="I24">
            <v>425000</v>
          </cell>
        </row>
        <row r="25">
          <cell r="B25" t="str">
            <v>M4+ 8 Str BS6.2</v>
          </cell>
          <cell r="C25">
            <v>0</v>
          </cell>
          <cell r="D25">
            <v>0</v>
          </cell>
          <cell r="E25">
            <v>0</v>
          </cell>
          <cell r="F25">
            <v>285714</v>
          </cell>
          <cell r="G25">
            <v>400000</v>
          </cell>
          <cell r="H25">
            <v>25000</v>
          </cell>
          <cell r="I25">
            <v>425000</v>
          </cell>
        </row>
        <row r="26">
          <cell r="B26" t="str">
            <v>M6+ 7 Str BS6.2</v>
          </cell>
          <cell r="C26">
            <v>0</v>
          </cell>
          <cell r="D26">
            <v>0</v>
          </cell>
          <cell r="E26">
            <v>0</v>
          </cell>
          <cell r="F26">
            <v>285714</v>
          </cell>
          <cell r="G26">
            <v>400000</v>
          </cell>
          <cell r="H26">
            <v>25000</v>
          </cell>
          <cell r="I26">
            <v>425000</v>
          </cell>
        </row>
        <row r="27">
          <cell r="B27" t="str">
            <v>M6+ 8 Str BS6.2</v>
          </cell>
          <cell r="C27">
            <v>0</v>
          </cell>
          <cell r="D27">
            <v>0</v>
          </cell>
          <cell r="E27">
            <v>0</v>
          </cell>
          <cell r="F27">
            <v>285714</v>
          </cell>
          <cell r="G27">
            <v>400000</v>
          </cell>
          <cell r="H27">
            <v>25000</v>
          </cell>
          <cell r="I27">
            <v>425000</v>
          </cell>
        </row>
        <row r="28">
          <cell r="B28" t="str">
            <v>Classic S - 9 STR BS6.2 - New</v>
          </cell>
          <cell r="C28">
            <v>35714</v>
          </cell>
          <cell r="D28">
            <v>50000</v>
          </cell>
          <cell r="E28">
            <v>30001</v>
          </cell>
          <cell r="F28">
            <v>57143</v>
          </cell>
          <cell r="G28">
            <v>80000</v>
          </cell>
          <cell r="H28">
            <v>20000</v>
          </cell>
          <cell r="I28">
            <v>100000</v>
          </cell>
        </row>
        <row r="29">
          <cell r="B29" t="str">
            <v>Classic S BS6.2</v>
          </cell>
          <cell r="C29">
            <v>35714</v>
          </cell>
          <cell r="D29">
            <v>50000</v>
          </cell>
          <cell r="E29">
            <v>50000</v>
          </cell>
          <cell r="F29">
            <v>57143</v>
          </cell>
          <cell r="G29">
            <v>80000</v>
          </cell>
          <cell r="H29">
            <v>20000</v>
          </cell>
          <cell r="I29">
            <v>100000</v>
          </cell>
        </row>
        <row r="30">
          <cell r="B30" t="str">
            <v>Classic S BS6.2 - New</v>
          </cell>
          <cell r="C30">
            <v>35714</v>
          </cell>
          <cell r="D30">
            <v>50000</v>
          </cell>
          <cell r="E30">
            <v>30001</v>
          </cell>
          <cell r="F30">
            <v>57143</v>
          </cell>
          <cell r="G30">
            <v>80000</v>
          </cell>
          <cell r="H30">
            <v>20000</v>
          </cell>
          <cell r="I30">
            <v>100000</v>
          </cell>
        </row>
        <row r="31">
          <cell r="B31" t="str">
            <v>Classic S11 BS6.2 - New</v>
          </cell>
          <cell r="C31">
            <v>35714</v>
          </cell>
          <cell r="D31">
            <v>50000</v>
          </cell>
          <cell r="E31">
            <v>30001</v>
          </cell>
          <cell r="F31">
            <v>53571</v>
          </cell>
          <cell r="G31">
            <v>75000</v>
          </cell>
          <cell r="H31">
            <v>25000</v>
          </cell>
          <cell r="I31">
            <v>100000</v>
          </cell>
        </row>
        <row r="32">
          <cell r="B32" t="str">
            <v>Z2 D MT 2WD 7 STR - E BS6.2 - New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10000</v>
          </cell>
          <cell r="I32">
            <v>10000</v>
          </cell>
        </row>
        <row r="33">
          <cell r="B33" t="str">
            <v>Z2 D MT 2WD 7 STR BS6.2 - New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10000</v>
          </cell>
          <cell r="I33">
            <v>10000</v>
          </cell>
        </row>
        <row r="34">
          <cell r="B34" t="str">
            <v>Z2 G MT 2WD 7 STR - E BS6.2 - New</v>
          </cell>
          <cell r="C34">
            <v>0</v>
          </cell>
          <cell r="D34">
            <v>0</v>
          </cell>
          <cell r="E34">
            <v>0</v>
          </cell>
          <cell r="F34">
            <v>7143</v>
          </cell>
          <cell r="G34">
            <v>10000</v>
          </cell>
          <cell r="H34">
            <v>10000</v>
          </cell>
          <cell r="I34">
            <v>20000</v>
          </cell>
        </row>
        <row r="35">
          <cell r="B35" t="str">
            <v>Z2 G MT 2WD 7 STR BS6.2 - New</v>
          </cell>
          <cell r="C35">
            <v>0</v>
          </cell>
          <cell r="D35">
            <v>0</v>
          </cell>
          <cell r="E35">
            <v>0</v>
          </cell>
          <cell r="F35">
            <v>7143</v>
          </cell>
          <cell r="G35">
            <v>10000</v>
          </cell>
          <cell r="H35">
            <v>10000</v>
          </cell>
          <cell r="I35">
            <v>20000</v>
          </cell>
        </row>
        <row r="36">
          <cell r="B36" t="str">
            <v>Z4 D AT 2WD 7 STR BS6.2 - New</v>
          </cell>
          <cell r="C36">
            <v>0</v>
          </cell>
          <cell r="D36">
            <v>0</v>
          </cell>
          <cell r="E36">
            <v>0</v>
          </cell>
          <cell r="F36">
            <v>17857</v>
          </cell>
          <cell r="G36">
            <v>25000</v>
          </cell>
          <cell r="H36">
            <v>10000</v>
          </cell>
          <cell r="I36">
            <v>35000</v>
          </cell>
        </row>
        <row r="37">
          <cell r="B37" t="str">
            <v>Z4 D MT 2WD 7 STR - E BS6.2 - New</v>
          </cell>
          <cell r="C37">
            <v>0</v>
          </cell>
          <cell r="D37">
            <v>0</v>
          </cell>
          <cell r="E37">
            <v>0</v>
          </cell>
          <cell r="F37">
            <v>17857</v>
          </cell>
          <cell r="G37">
            <v>25000</v>
          </cell>
          <cell r="H37">
            <v>10000</v>
          </cell>
          <cell r="I37">
            <v>35000</v>
          </cell>
        </row>
        <row r="38">
          <cell r="B38" t="str">
            <v>Z4 D MT 2WD 7 STR BS6.2 - New</v>
          </cell>
          <cell r="C38">
            <v>0</v>
          </cell>
          <cell r="D38">
            <v>0</v>
          </cell>
          <cell r="E38">
            <v>0</v>
          </cell>
          <cell r="F38">
            <v>17857</v>
          </cell>
          <cell r="G38">
            <v>25000</v>
          </cell>
          <cell r="H38">
            <v>10000</v>
          </cell>
          <cell r="I38">
            <v>35000</v>
          </cell>
        </row>
        <row r="39">
          <cell r="B39" t="str">
            <v>Z4 D MT 4WD 7 STR - E BS6.2 - New</v>
          </cell>
          <cell r="C39">
            <v>0</v>
          </cell>
          <cell r="D39">
            <v>0</v>
          </cell>
          <cell r="E39">
            <v>0</v>
          </cell>
          <cell r="F39">
            <v>17857</v>
          </cell>
          <cell r="G39">
            <v>25000</v>
          </cell>
          <cell r="H39">
            <v>10000</v>
          </cell>
          <cell r="I39">
            <v>35000</v>
          </cell>
        </row>
        <row r="40">
          <cell r="B40" t="str">
            <v>Z4 G AT 2WD 7 STR BS6.2 - New</v>
          </cell>
          <cell r="C40">
            <v>0</v>
          </cell>
          <cell r="D40">
            <v>0</v>
          </cell>
          <cell r="E40">
            <v>0</v>
          </cell>
          <cell r="F40">
            <v>71429</v>
          </cell>
          <cell r="G40">
            <v>100000</v>
          </cell>
          <cell r="H40">
            <v>50000</v>
          </cell>
          <cell r="I40">
            <v>150000</v>
          </cell>
        </row>
        <row r="41">
          <cell r="B41" t="str">
            <v>Z4 G MT 2WD 7 STR - E BS6.2 - New</v>
          </cell>
          <cell r="C41">
            <v>0</v>
          </cell>
          <cell r="D41">
            <v>0</v>
          </cell>
          <cell r="E41">
            <v>0</v>
          </cell>
          <cell r="F41">
            <v>71429</v>
          </cell>
          <cell r="G41">
            <v>100000</v>
          </cell>
          <cell r="H41">
            <v>50000</v>
          </cell>
          <cell r="I41">
            <v>150000</v>
          </cell>
        </row>
        <row r="42">
          <cell r="B42" t="str">
            <v>Z4 G MT 2WD 7 STR BS6.2 - New</v>
          </cell>
          <cell r="C42">
            <v>0</v>
          </cell>
          <cell r="D42">
            <v>0</v>
          </cell>
          <cell r="E42">
            <v>0</v>
          </cell>
          <cell r="F42">
            <v>71429</v>
          </cell>
          <cell r="G42">
            <v>100000</v>
          </cell>
          <cell r="H42">
            <v>50000</v>
          </cell>
          <cell r="I42">
            <v>150000</v>
          </cell>
        </row>
        <row r="43">
          <cell r="B43" t="str">
            <v>Z6 D AT 2WD 7 STR BS6.2 - New</v>
          </cell>
          <cell r="C43">
            <v>0</v>
          </cell>
          <cell r="D43">
            <v>0</v>
          </cell>
          <cell r="E43">
            <v>0</v>
          </cell>
          <cell r="F43">
            <v>17857</v>
          </cell>
          <cell r="G43">
            <v>25000</v>
          </cell>
          <cell r="H43">
            <v>10000</v>
          </cell>
          <cell r="I43">
            <v>35000</v>
          </cell>
        </row>
        <row r="44">
          <cell r="B44" t="str">
            <v>Z6 D MT 2WD 7 STR BS6.2</v>
          </cell>
          <cell r="C44">
            <v>0</v>
          </cell>
          <cell r="D44">
            <v>0</v>
          </cell>
          <cell r="E44">
            <v>0</v>
          </cell>
          <cell r="F44">
            <v>17857</v>
          </cell>
          <cell r="G44">
            <v>25000</v>
          </cell>
          <cell r="H44">
            <v>10000</v>
          </cell>
          <cell r="I44">
            <v>35000</v>
          </cell>
        </row>
        <row r="45">
          <cell r="B45" t="str">
            <v>Z6 D MT 2WD 7 STR BS6.2 - New</v>
          </cell>
          <cell r="C45">
            <v>0</v>
          </cell>
          <cell r="D45">
            <v>0</v>
          </cell>
          <cell r="E45">
            <v>0</v>
          </cell>
          <cell r="F45">
            <v>17857</v>
          </cell>
          <cell r="G45">
            <v>25000</v>
          </cell>
          <cell r="H45">
            <v>10000</v>
          </cell>
          <cell r="I45">
            <v>35000</v>
          </cell>
        </row>
        <row r="46">
          <cell r="B46" t="str">
            <v>Z8 D AT 2WD 7 STR BS6.2 - N</v>
          </cell>
          <cell r="C46">
            <v>0</v>
          </cell>
          <cell r="D46">
            <v>0</v>
          </cell>
          <cell r="E46">
            <v>0</v>
          </cell>
          <cell r="F46">
            <v>21429</v>
          </cell>
          <cell r="G46">
            <v>30000</v>
          </cell>
          <cell r="H46">
            <v>20000</v>
          </cell>
          <cell r="I46">
            <v>50000</v>
          </cell>
        </row>
        <row r="47">
          <cell r="B47" t="str">
            <v>Z8 D AT 2WD 7 STR BS6.2 - New</v>
          </cell>
          <cell r="C47">
            <v>0</v>
          </cell>
          <cell r="D47">
            <v>0</v>
          </cell>
          <cell r="E47">
            <v>0</v>
          </cell>
          <cell r="F47">
            <v>21429</v>
          </cell>
          <cell r="G47">
            <v>30000</v>
          </cell>
          <cell r="H47">
            <v>20000</v>
          </cell>
          <cell r="I47">
            <v>50000</v>
          </cell>
        </row>
        <row r="48">
          <cell r="B48" t="str">
            <v>Z8 D AT 4WD 7 STR BS6.2</v>
          </cell>
          <cell r="C48">
            <v>0</v>
          </cell>
          <cell r="D48">
            <v>0</v>
          </cell>
          <cell r="E48">
            <v>0</v>
          </cell>
          <cell r="F48">
            <v>21429</v>
          </cell>
          <cell r="G48">
            <v>30000</v>
          </cell>
          <cell r="H48">
            <v>20000</v>
          </cell>
          <cell r="I48">
            <v>50000</v>
          </cell>
        </row>
        <row r="49">
          <cell r="B49" t="str">
            <v>Z8 D AT 4WD 7 STR BS6.2 - N</v>
          </cell>
          <cell r="C49">
            <v>0</v>
          </cell>
          <cell r="D49">
            <v>0</v>
          </cell>
          <cell r="E49">
            <v>0</v>
          </cell>
          <cell r="F49">
            <v>21429</v>
          </cell>
          <cell r="G49">
            <v>30000</v>
          </cell>
          <cell r="H49">
            <v>20000</v>
          </cell>
          <cell r="I49">
            <v>50000</v>
          </cell>
        </row>
        <row r="50">
          <cell r="B50" t="str">
            <v>Z8 D AT 4WD 7 STR BS6.2 - New</v>
          </cell>
          <cell r="C50">
            <v>0</v>
          </cell>
          <cell r="D50">
            <v>0</v>
          </cell>
          <cell r="E50">
            <v>0</v>
          </cell>
          <cell r="F50">
            <v>21429</v>
          </cell>
          <cell r="G50">
            <v>30000</v>
          </cell>
          <cell r="H50">
            <v>20000</v>
          </cell>
          <cell r="I50">
            <v>50000</v>
          </cell>
        </row>
        <row r="51">
          <cell r="B51" t="str">
            <v>Z8 D MT 2WD 7 STR BS6.2</v>
          </cell>
          <cell r="C51">
            <v>0</v>
          </cell>
          <cell r="D51">
            <v>0</v>
          </cell>
          <cell r="E51">
            <v>0</v>
          </cell>
          <cell r="F51">
            <v>21429</v>
          </cell>
          <cell r="G51">
            <v>30000</v>
          </cell>
          <cell r="H51">
            <v>20000</v>
          </cell>
          <cell r="I51">
            <v>50000</v>
          </cell>
        </row>
        <row r="52">
          <cell r="B52" t="str">
            <v>Z8 D MT 2WD 7 STR BS6.2 - N</v>
          </cell>
          <cell r="C52">
            <v>0</v>
          </cell>
          <cell r="D52">
            <v>0</v>
          </cell>
          <cell r="E52">
            <v>0</v>
          </cell>
          <cell r="F52">
            <v>21429</v>
          </cell>
          <cell r="G52">
            <v>30000</v>
          </cell>
          <cell r="H52">
            <v>20000</v>
          </cell>
          <cell r="I52">
            <v>50000</v>
          </cell>
        </row>
        <row r="53">
          <cell r="B53" t="str">
            <v>Z8 D MT 2WD 7 STR BS6.2 - New</v>
          </cell>
          <cell r="C53">
            <v>0</v>
          </cell>
          <cell r="D53">
            <v>0</v>
          </cell>
          <cell r="E53">
            <v>0</v>
          </cell>
          <cell r="F53">
            <v>21429</v>
          </cell>
          <cell r="G53">
            <v>30000</v>
          </cell>
          <cell r="H53">
            <v>20000</v>
          </cell>
          <cell r="I53">
            <v>50000</v>
          </cell>
        </row>
        <row r="54">
          <cell r="B54" t="str">
            <v>Z8 D MT 4WD 7 STR BS6.2 - N</v>
          </cell>
          <cell r="C54">
            <v>0</v>
          </cell>
          <cell r="D54">
            <v>0</v>
          </cell>
          <cell r="E54">
            <v>0</v>
          </cell>
          <cell r="F54">
            <v>21429</v>
          </cell>
          <cell r="G54">
            <v>30000</v>
          </cell>
          <cell r="H54">
            <v>20000</v>
          </cell>
          <cell r="I54">
            <v>50000</v>
          </cell>
        </row>
        <row r="55">
          <cell r="B55" t="str">
            <v>Z8 D MT 4WD 7 STR BS6.2 - New</v>
          </cell>
          <cell r="C55">
            <v>0</v>
          </cell>
          <cell r="D55">
            <v>0</v>
          </cell>
          <cell r="E55">
            <v>0</v>
          </cell>
          <cell r="F55">
            <v>21429</v>
          </cell>
          <cell r="G55">
            <v>30000</v>
          </cell>
          <cell r="H55">
            <v>20000</v>
          </cell>
          <cell r="I55">
            <v>50000</v>
          </cell>
        </row>
        <row r="56">
          <cell r="B56" t="str">
            <v>Z8 G AT 2WD 7 STR BS6.2 - N</v>
          </cell>
          <cell r="C56">
            <v>0</v>
          </cell>
          <cell r="D56">
            <v>0</v>
          </cell>
          <cell r="E56">
            <v>0</v>
          </cell>
          <cell r="F56">
            <v>71429</v>
          </cell>
          <cell r="G56">
            <v>100000</v>
          </cell>
          <cell r="H56">
            <v>50000</v>
          </cell>
          <cell r="I56">
            <v>150000</v>
          </cell>
        </row>
        <row r="57">
          <cell r="B57" t="str">
            <v>Z8 G AT 2WD 7 STR BS6.2 - N - Black Edition</v>
          </cell>
          <cell r="C57">
            <v>0</v>
          </cell>
          <cell r="D57">
            <v>0</v>
          </cell>
          <cell r="E57">
            <v>0</v>
          </cell>
          <cell r="F57">
            <v>71429</v>
          </cell>
          <cell r="G57">
            <v>100000</v>
          </cell>
          <cell r="H57">
            <v>50000</v>
          </cell>
          <cell r="I57">
            <v>150000</v>
          </cell>
        </row>
        <row r="58">
          <cell r="B58" t="str">
            <v>Z8 G AT 2WD 7 STR BS6.2 - New</v>
          </cell>
          <cell r="C58">
            <v>0</v>
          </cell>
          <cell r="D58">
            <v>0</v>
          </cell>
          <cell r="E58">
            <v>0</v>
          </cell>
          <cell r="F58">
            <v>71429</v>
          </cell>
          <cell r="G58">
            <v>100000</v>
          </cell>
          <cell r="H58">
            <v>50000</v>
          </cell>
          <cell r="I58">
            <v>150000</v>
          </cell>
        </row>
        <row r="59">
          <cell r="B59" t="str">
            <v>Z8 G MT 2WD 7 STR BS6.2 - N</v>
          </cell>
          <cell r="C59">
            <v>0</v>
          </cell>
          <cell r="D59">
            <v>0</v>
          </cell>
          <cell r="E59">
            <v>0</v>
          </cell>
          <cell r="F59">
            <v>71429</v>
          </cell>
          <cell r="G59">
            <v>100000</v>
          </cell>
          <cell r="H59">
            <v>50000</v>
          </cell>
          <cell r="I59">
            <v>150000</v>
          </cell>
        </row>
        <row r="60">
          <cell r="B60" t="str">
            <v>Z8 G MT 2WD 7 STR BS6.2 - N - Black Edition</v>
          </cell>
          <cell r="C60">
            <v>0</v>
          </cell>
          <cell r="D60">
            <v>0</v>
          </cell>
          <cell r="E60">
            <v>0</v>
          </cell>
          <cell r="F60">
            <v>71429</v>
          </cell>
          <cell r="G60">
            <v>100000</v>
          </cell>
          <cell r="H60">
            <v>50000</v>
          </cell>
          <cell r="I60">
            <v>150000</v>
          </cell>
        </row>
        <row r="61">
          <cell r="B61" t="str">
            <v>Z8 G MT 2WD 7 STR BS6.2 - New</v>
          </cell>
          <cell r="C61">
            <v>0</v>
          </cell>
          <cell r="D61">
            <v>0</v>
          </cell>
          <cell r="E61">
            <v>0</v>
          </cell>
          <cell r="F61">
            <v>71429</v>
          </cell>
          <cell r="G61">
            <v>100000</v>
          </cell>
          <cell r="H61">
            <v>50000</v>
          </cell>
          <cell r="I61">
            <v>150000</v>
          </cell>
        </row>
        <row r="62">
          <cell r="B62" t="str">
            <v>Z8 L D AT 2WD 6 STR BS6.2</v>
          </cell>
          <cell r="C62">
            <v>0</v>
          </cell>
          <cell r="D62">
            <v>0</v>
          </cell>
          <cell r="E62">
            <v>0</v>
          </cell>
          <cell r="F62">
            <v>21429</v>
          </cell>
          <cell r="G62">
            <v>30000</v>
          </cell>
          <cell r="H62">
            <v>20000</v>
          </cell>
          <cell r="I62">
            <v>50000</v>
          </cell>
        </row>
        <row r="63">
          <cell r="B63" t="str">
            <v>Z8 L D AT 2WD 6 STR BS6.2 - N</v>
          </cell>
          <cell r="C63">
            <v>0</v>
          </cell>
          <cell r="D63">
            <v>0</v>
          </cell>
          <cell r="E63">
            <v>0</v>
          </cell>
          <cell r="F63">
            <v>21429</v>
          </cell>
          <cell r="G63">
            <v>30000</v>
          </cell>
          <cell r="H63">
            <v>20000</v>
          </cell>
          <cell r="I63">
            <v>50000</v>
          </cell>
        </row>
        <row r="64">
          <cell r="B64" t="str">
            <v>Z8 L D AT 2WD 6 STR BS6.2 - N - ADAS</v>
          </cell>
          <cell r="C64">
            <v>0</v>
          </cell>
          <cell r="D64">
            <v>0</v>
          </cell>
          <cell r="E64">
            <v>0</v>
          </cell>
          <cell r="F64">
            <v>21429</v>
          </cell>
          <cell r="G64">
            <v>30000</v>
          </cell>
          <cell r="H64">
            <v>20000</v>
          </cell>
          <cell r="I64">
            <v>50000</v>
          </cell>
        </row>
        <row r="65">
          <cell r="B65" t="str">
            <v>Z8 L D AT 2WD 6 STR BS6.2 - New</v>
          </cell>
          <cell r="C65">
            <v>0</v>
          </cell>
          <cell r="D65">
            <v>0</v>
          </cell>
          <cell r="E65">
            <v>0</v>
          </cell>
          <cell r="F65">
            <v>21429</v>
          </cell>
          <cell r="G65">
            <v>30000</v>
          </cell>
          <cell r="H65">
            <v>20000</v>
          </cell>
          <cell r="I65">
            <v>50000</v>
          </cell>
        </row>
        <row r="66">
          <cell r="B66" t="str">
            <v>Z8 L D AT 2WD 7 STR BS6.2</v>
          </cell>
          <cell r="C66">
            <v>0</v>
          </cell>
          <cell r="D66">
            <v>0</v>
          </cell>
          <cell r="E66">
            <v>0</v>
          </cell>
          <cell r="F66">
            <v>21429</v>
          </cell>
          <cell r="G66">
            <v>30000</v>
          </cell>
          <cell r="H66">
            <v>20000</v>
          </cell>
          <cell r="I66">
            <v>50000</v>
          </cell>
        </row>
        <row r="67">
          <cell r="B67" t="str">
            <v>Z8 L D AT 2WD 7 STR BS6.2 - N</v>
          </cell>
          <cell r="C67">
            <v>0</v>
          </cell>
          <cell r="D67">
            <v>0</v>
          </cell>
          <cell r="E67">
            <v>0</v>
          </cell>
          <cell r="F67">
            <v>21429</v>
          </cell>
          <cell r="G67">
            <v>30000</v>
          </cell>
          <cell r="H67">
            <v>20000</v>
          </cell>
          <cell r="I67">
            <v>50000</v>
          </cell>
        </row>
        <row r="68">
          <cell r="B68" t="str">
            <v>Z8 L D AT 2WD 7 STR BS6.2 - N - ADAS</v>
          </cell>
          <cell r="C68">
            <v>0</v>
          </cell>
          <cell r="D68">
            <v>0</v>
          </cell>
          <cell r="E68">
            <v>0</v>
          </cell>
          <cell r="F68">
            <v>21429</v>
          </cell>
          <cell r="G68">
            <v>30000</v>
          </cell>
          <cell r="H68">
            <v>20000</v>
          </cell>
          <cell r="I68">
            <v>50000</v>
          </cell>
        </row>
        <row r="69">
          <cell r="B69" t="str">
            <v>Z8 L D AT 2WD 7 STR BS6.2 - N - Black Edition</v>
          </cell>
          <cell r="C69">
            <v>0</v>
          </cell>
          <cell r="D69">
            <v>0</v>
          </cell>
          <cell r="E69">
            <v>0</v>
          </cell>
          <cell r="F69">
            <v>28571</v>
          </cell>
          <cell r="G69">
            <v>40000</v>
          </cell>
          <cell r="H69">
            <v>20000</v>
          </cell>
          <cell r="I69">
            <v>60000</v>
          </cell>
        </row>
        <row r="70">
          <cell r="B70" t="str">
            <v>Z8 L D AT 2WD 7 STR BS6.2 - N - Black Edition - ADAS</v>
          </cell>
          <cell r="C70">
            <v>0</v>
          </cell>
          <cell r="D70">
            <v>0</v>
          </cell>
          <cell r="E70">
            <v>0</v>
          </cell>
          <cell r="F70">
            <v>21429</v>
          </cell>
          <cell r="G70">
            <v>30000</v>
          </cell>
          <cell r="H70">
            <v>20000</v>
          </cell>
          <cell r="I70">
            <v>50000</v>
          </cell>
        </row>
        <row r="71">
          <cell r="B71" t="str">
            <v>Z8 L D AT 2WD 7 STR BS6.2 - New</v>
          </cell>
          <cell r="C71">
            <v>0</v>
          </cell>
          <cell r="D71">
            <v>0</v>
          </cell>
          <cell r="E71">
            <v>0</v>
          </cell>
          <cell r="F71">
            <v>21429</v>
          </cell>
          <cell r="G71">
            <v>30000</v>
          </cell>
          <cell r="H71">
            <v>20000</v>
          </cell>
          <cell r="I71">
            <v>50000</v>
          </cell>
        </row>
        <row r="72">
          <cell r="B72" t="str">
            <v>Z8 L D AT 2WD 7 STR BS6.2-N-CBN-WQ</v>
          </cell>
          <cell r="C72">
            <v>0</v>
          </cell>
          <cell r="D72">
            <v>0</v>
          </cell>
          <cell r="E72">
            <v>0</v>
          </cell>
          <cell r="F72">
            <v>21429</v>
          </cell>
          <cell r="G72">
            <v>30000</v>
          </cell>
          <cell r="H72">
            <v>20000</v>
          </cell>
          <cell r="I72">
            <v>50000</v>
          </cell>
        </row>
        <row r="73">
          <cell r="B73" t="str">
            <v>Z8 L D AT 4WD 7 STR BS6.2</v>
          </cell>
          <cell r="C73">
            <v>0</v>
          </cell>
          <cell r="D73">
            <v>0</v>
          </cell>
          <cell r="E73">
            <v>0</v>
          </cell>
          <cell r="F73">
            <v>21429</v>
          </cell>
          <cell r="G73">
            <v>30000</v>
          </cell>
          <cell r="H73">
            <v>20000</v>
          </cell>
          <cell r="I73">
            <v>50000</v>
          </cell>
        </row>
        <row r="74">
          <cell r="B74" t="str">
            <v>Z8 L D AT 4WD 7 STR BS6.2 - N</v>
          </cell>
          <cell r="C74">
            <v>0</v>
          </cell>
          <cell r="D74">
            <v>0</v>
          </cell>
          <cell r="E74">
            <v>0</v>
          </cell>
          <cell r="F74">
            <v>21429</v>
          </cell>
          <cell r="G74">
            <v>30000</v>
          </cell>
          <cell r="H74">
            <v>20000</v>
          </cell>
          <cell r="I74">
            <v>50000</v>
          </cell>
        </row>
        <row r="75">
          <cell r="B75" t="str">
            <v>Z8 L D AT 4WD 7 STR BS6.2 - N - ADAS</v>
          </cell>
          <cell r="C75">
            <v>0</v>
          </cell>
          <cell r="D75">
            <v>0</v>
          </cell>
          <cell r="E75">
            <v>0</v>
          </cell>
          <cell r="F75">
            <v>21429</v>
          </cell>
          <cell r="G75">
            <v>30000</v>
          </cell>
          <cell r="H75">
            <v>20000</v>
          </cell>
          <cell r="I75">
            <v>50000</v>
          </cell>
        </row>
        <row r="76">
          <cell r="B76" t="str">
            <v>Z8 L D AT 4WD 7 STR BS6.2 - N - Black Edition</v>
          </cell>
          <cell r="C76">
            <v>0</v>
          </cell>
          <cell r="D76">
            <v>0</v>
          </cell>
          <cell r="E76">
            <v>0</v>
          </cell>
          <cell r="F76">
            <v>28571</v>
          </cell>
          <cell r="G76">
            <v>40000</v>
          </cell>
          <cell r="H76">
            <v>20000</v>
          </cell>
          <cell r="I76">
            <v>60000</v>
          </cell>
        </row>
        <row r="77">
          <cell r="B77" t="str">
            <v>Z8 L D AT 4WD 7 STR BS6.2 - N - Black Edition - ADAS</v>
          </cell>
          <cell r="C77">
            <v>0</v>
          </cell>
          <cell r="D77">
            <v>0</v>
          </cell>
          <cell r="E77">
            <v>0</v>
          </cell>
          <cell r="F77">
            <v>21429</v>
          </cell>
          <cell r="G77">
            <v>30000</v>
          </cell>
          <cell r="H77">
            <v>20000</v>
          </cell>
          <cell r="I77">
            <v>50000</v>
          </cell>
        </row>
        <row r="78">
          <cell r="B78" t="str">
            <v>Z8 L D AT 4WD 7 STR BS6.2 - New</v>
          </cell>
          <cell r="C78">
            <v>0</v>
          </cell>
          <cell r="D78">
            <v>0</v>
          </cell>
          <cell r="E78">
            <v>0</v>
          </cell>
          <cell r="F78">
            <v>21429</v>
          </cell>
          <cell r="G78">
            <v>30000</v>
          </cell>
          <cell r="H78">
            <v>20000</v>
          </cell>
          <cell r="I78">
            <v>50000</v>
          </cell>
        </row>
        <row r="79">
          <cell r="B79" t="str">
            <v>Z8 L D MT 2WD 6 STR BS6.2 - N</v>
          </cell>
          <cell r="C79">
            <v>0</v>
          </cell>
          <cell r="D79">
            <v>0</v>
          </cell>
          <cell r="E79">
            <v>0</v>
          </cell>
          <cell r="F79">
            <v>21429</v>
          </cell>
          <cell r="G79">
            <v>30000</v>
          </cell>
          <cell r="H79">
            <v>20000</v>
          </cell>
          <cell r="I79">
            <v>50000</v>
          </cell>
        </row>
        <row r="80">
          <cell r="B80" t="str">
            <v>Z8 L D MT 2WD 6 STR BS6.2 - N - ADAS</v>
          </cell>
          <cell r="C80">
            <v>0</v>
          </cell>
          <cell r="D80">
            <v>0</v>
          </cell>
          <cell r="E80">
            <v>0</v>
          </cell>
          <cell r="F80">
            <v>21429</v>
          </cell>
          <cell r="G80">
            <v>30000</v>
          </cell>
          <cell r="H80">
            <v>20000</v>
          </cell>
          <cell r="I80">
            <v>50000</v>
          </cell>
        </row>
        <row r="81">
          <cell r="B81" t="str">
            <v>Z8 L D MT 2WD 6 STR BS6.2 - New</v>
          </cell>
          <cell r="C81">
            <v>0</v>
          </cell>
          <cell r="D81">
            <v>0</v>
          </cell>
          <cell r="E81">
            <v>0</v>
          </cell>
          <cell r="F81">
            <v>21429</v>
          </cell>
          <cell r="G81">
            <v>30000</v>
          </cell>
          <cell r="H81">
            <v>20000</v>
          </cell>
          <cell r="I81">
            <v>50000</v>
          </cell>
        </row>
        <row r="82">
          <cell r="B82" t="str">
            <v>Z8 L D MT 2WD 7 STR BS6.2 - N</v>
          </cell>
          <cell r="C82">
            <v>0</v>
          </cell>
          <cell r="D82">
            <v>0</v>
          </cell>
          <cell r="E82">
            <v>0</v>
          </cell>
          <cell r="F82">
            <v>21429</v>
          </cell>
          <cell r="G82">
            <v>30000</v>
          </cell>
          <cell r="H82">
            <v>20000</v>
          </cell>
          <cell r="I82">
            <v>50000</v>
          </cell>
        </row>
        <row r="83">
          <cell r="B83" t="str">
            <v>Z8 L D MT 2WD 7 STR BS6.2 - N - ADAS</v>
          </cell>
          <cell r="C83">
            <v>0</v>
          </cell>
          <cell r="D83">
            <v>0</v>
          </cell>
          <cell r="E83">
            <v>0</v>
          </cell>
          <cell r="F83">
            <v>21429</v>
          </cell>
          <cell r="G83">
            <v>30000</v>
          </cell>
          <cell r="H83">
            <v>20000</v>
          </cell>
          <cell r="I83">
            <v>50000</v>
          </cell>
        </row>
        <row r="84">
          <cell r="B84" t="str">
            <v>Z8 L D MT 2WD 7 STR BS6.2 - N - Black Edition</v>
          </cell>
          <cell r="C84">
            <v>0</v>
          </cell>
          <cell r="D84">
            <v>0</v>
          </cell>
          <cell r="E84">
            <v>0</v>
          </cell>
          <cell r="F84">
            <v>28571</v>
          </cell>
          <cell r="G84">
            <v>40000</v>
          </cell>
          <cell r="H84">
            <v>20000</v>
          </cell>
          <cell r="I84">
            <v>60000</v>
          </cell>
        </row>
        <row r="85">
          <cell r="B85" t="str">
            <v>Z8 L D MT 2WD 7 STR BS6.2 - N - Black Edition - ADAS</v>
          </cell>
          <cell r="C85">
            <v>0</v>
          </cell>
          <cell r="D85">
            <v>0</v>
          </cell>
          <cell r="E85">
            <v>0</v>
          </cell>
          <cell r="F85">
            <v>21429</v>
          </cell>
          <cell r="G85">
            <v>30000</v>
          </cell>
          <cell r="H85">
            <v>20000</v>
          </cell>
          <cell r="I85">
            <v>50000</v>
          </cell>
        </row>
        <row r="86">
          <cell r="B86" t="str">
            <v>Z8 L D MT 2WD 7 STR BS6.2 - New</v>
          </cell>
          <cell r="C86">
            <v>0</v>
          </cell>
          <cell r="D86">
            <v>0</v>
          </cell>
          <cell r="E86">
            <v>0</v>
          </cell>
          <cell r="F86">
            <v>21429</v>
          </cell>
          <cell r="G86">
            <v>30000</v>
          </cell>
          <cell r="H86">
            <v>20000</v>
          </cell>
          <cell r="I86">
            <v>50000</v>
          </cell>
        </row>
        <row r="87">
          <cell r="B87" t="str">
            <v>Z8 L D MT 2WD 7 STR BS6.2-N-CBN-WQ</v>
          </cell>
          <cell r="C87">
            <v>0</v>
          </cell>
          <cell r="D87">
            <v>0</v>
          </cell>
          <cell r="E87">
            <v>0</v>
          </cell>
          <cell r="F87">
            <v>21429</v>
          </cell>
          <cell r="G87">
            <v>30000</v>
          </cell>
          <cell r="H87">
            <v>20000</v>
          </cell>
          <cell r="I87">
            <v>50000</v>
          </cell>
        </row>
        <row r="88">
          <cell r="B88" t="str">
            <v>Z8 L D MT 4WD 7 STR BS6.2 - N</v>
          </cell>
          <cell r="C88">
            <v>0</v>
          </cell>
          <cell r="D88">
            <v>0</v>
          </cell>
          <cell r="E88">
            <v>0</v>
          </cell>
          <cell r="F88">
            <v>21429</v>
          </cell>
          <cell r="G88">
            <v>30000</v>
          </cell>
          <cell r="H88">
            <v>20000</v>
          </cell>
          <cell r="I88">
            <v>50000</v>
          </cell>
        </row>
        <row r="89">
          <cell r="B89" t="str">
            <v>Z8 L D MT 4WD 7 STR BS6.2 - N - ADAS</v>
          </cell>
          <cell r="C89">
            <v>0</v>
          </cell>
          <cell r="D89">
            <v>0</v>
          </cell>
          <cell r="E89">
            <v>0</v>
          </cell>
          <cell r="F89">
            <v>21429</v>
          </cell>
          <cell r="G89">
            <v>30000</v>
          </cell>
          <cell r="H89">
            <v>20000</v>
          </cell>
          <cell r="I89">
            <v>50000</v>
          </cell>
        </row>
        <row r="90">
          <cell r="B90" t="str">
            <v>Z8 L D MT 4WD 7 STR BS6.2 - N - Black Edition</v>
          </cell>
          <cell r="C90">
            <v>0</v>
          </cell>
          <cell r="D90">
            <v>0</v>
          </cell>
          <cell r="E90">
            <v>0</v>
          </cell>
          <cell r="F90">
            <v>28571</v>
          </cell>
          <cell r="G90">
            <v>40000</v>
          </cell>
          <cell r="H90">
            <v>20000</v>
          </cell>
          <cell r="I90">
            <v>60000</v>
          </cell>
        </row>
        <row r="91">
          <cell r="B91" t="str">
            <v>Z8 L D MT 4WD 7 STR BS6.2 - N - Black Edition - ADAS</v>
          </cell>
          <cell r="C91">
            <v>0</v>
          </cell>
          <cell r="D91">
            <v>0</v>
          </cell>
          <cell r="E91">
            <v>0</v>
          </cell>
          <cell r="F91">
            <v>21429</v>
          </cell>
          <cell r="G91">
            <v>30000</v>
          </cell>
          <cell r="H91">
            <v>20000</v>
          </cell>
          <cell r="I91">
            <v>50000</v>
          </cell>
        </row>
        <row r="92">
          <cell r="B92" t="str">
            <v>Z8 L D MT 4WD 7 STR BS6.2 - New</v>
          </cell>
          <cell r="C92">
            <v>0</v>
          </cell>
          <cell r="D92">
            <v>0</v>
          </cell>
          <cell r="E92">
            <v>0</v>
          </cell>
          <cell r="F92">
            <v>21429</v>
          </cell>
          <cell r="G92">
            <v>30000</v>
          </cell>
          <cell r="H92">
            <v>20000</v>
          </cell>
          <cell r="I92">
            <v>50000</v>
          </cell>
        </row>
        <row r="93">
          <cell r="B93" t="str">
            <v>Z8 L G AT 2WD 6 STR BS6.2</v>
          </cell>
          <cell r="C93">
            <v>0</v>
          </cell>
          <cell r="D93">
            <v>0</v>
          </cell>
          <cell r="E93">
            <v>0</v>
          </cell>
          <cell r="F93">
            <v>71429</v>
          </cell>
          <cell r="G93">
            <v>100000</v>
          </cell>
          <cell r="H93">
            <v>50000</v>
          </cell>
          <cell r="I93">
            <v>150000</v>
          </cell>
        </row>
        <row r="94">
          <cell r="B94" t="str">
            <v>Z8 L G AT 2WD 6 STR BS6.2 - N</v>
          </cell>
          <cell r="C94">
            <v>0</v>
          </cell>
          <cell r="D94">
            <v>0</v>
          </cell>
          <cell r="E94">
            <v>0</v>
          </cell>
          <cell r="F94">
            <v>71429</v>
          </cell>
          <cell r="G94">
            <v>100000</v>
          </cell>
          <cell r="H94">
            <v>50000</v>
          </cell>
          <cell r="I94">
            <v>150000</v>
          </cell>
        </row>
        <row r="95">
          <cell r="B95" t="str">
            <v>Z8 L G AT 2WD 6 STR BS6.2 - N - ADAS</v>
          </cell>
          <cell r="C95">
            <v>0</v>
          </cell>
          <cell r="D95">
            <v>0</v>
          </cell>
          <cell r="E95">
            <v>0</v>
          </cell>
          <cell r="F95">
            <v>71429</v>
          </cell>
          <cell r="G95">
            <v>100000</v>
          </cell>
          <cell r="H95">
            <v>50000</v>
          </cell>
          <cell r="I95">
            <v>150000</v>
          </cell>
        </row>
        <row r="96">
          <cell r="B96" t="str">
            <v>Z8 L G AT 2WD 6 STR BS6.2 - New</v>
          </cell>
          <cell r="C96">
            <v>0</v>
          </cell>
          <cell r="D96">
            <v>0</v>
          </cell>
          <cell r="E96">
            <v>0</v>
          </cell>
          <cell r="F96">
            <v>71429</v>
          </cell>
          <cell r="G96">
            <v>100000</v>
          </cell>
          <cell r="H96">
            <v>50000</v>
          </cell>
          <cell r="I96">
            <v>150000</v>
          </cell>
        </row>
        <row r="97">
          <cell r="B97" t="str">
            <v>Z8 L G AT 2WD 7 STR BS6.2</v>
          </cell>
          <cell r="C97">
            <v>0</v>
          </cell>
          <cell r="D97">
            <v>0</v>
          </cell>
          <cell r="E97">
            <v>0</v>
          </cell>
          <cell r="F97">
            <v>71429</v>
          </cell>
          <cell r="G97">
            <v>100000</v>
          </cell>
          <cell r="H97">
            <v>50000</v>
          </cell>
          <cell r="I97">
            <v>150000</v>
          </cell>
        </row>
        <row r="98">
          <cell r="B98" t="str">
            <v>Z8 L G AT 2WD 7 STR BS6.2 - N</v>
          </cell>
          <cell r="C98">
            <v>0</v>
          </cell>
          <cell r="D98">
            <v>0</v>
          </cell>
          <cell r="E98">
            <v>0</v>
          </cell>
          <cell r="F98">
            <v>71429</v>
          </cell>
          <cell r="G98">
            <v>100000</v>
          </cell>
          <cell r="H98">
            <v>50000</v>
          </cell>
          <cell r="I98">
            <v>150000</v>
          </cell>
        </row>
        <row r="99">
          <cell r="B99" t="str">
            <v>Z8 L G AT 2WD 7 STR BS6.2 - N - ADAS</v>
          </cell>
          <cell r="C99">
            <v>0</v>
          </cell>
          <cell r="D99">
            <v>0</v>
          </cell>
          <cell r="E99">
            <v>0</v>
          </cell>
          <cell r="F99">
            <v>71429</v>
          </cell>
          <cell r="G99">
            <v>100000</v>
          </cell>
          <cell r="H99">
            <v>50000</v>
          </cell>
          <cell r="I99">
            <v>150000</v>
          </cell>
        </row>
        <row r="100">
          <cell r="B100" t="str">
            <v>Z8 L G AT 2WD 7 STR BS6.2 - N - Black Edition</v>
          </cell>
          <cell r="C100">
            <v>0</v>
          </cell>
          <cell r="D100">
            <v>0</v>
          </cell>
          <cell r="E100">
            <v>0</v>
          </cell>
          <cell r="F100">
            <v>71429</v>
          </cell>
          <cell r="G100">
            <v>100000</v>
          </cell>
          <cell r="H100">
            <v>50000</v>
          </cell>
          <cell r="I100">
            <v>150000</v>
          </cell>
        </row>
        <row r="101">
          <cell r="B101" t="str">
            <v>Z8 L G AT 2WD 7 STR BS6.2 - N - Black Edition - ADAS</v>
          </cell>
          <cell r="C101">
            <v>0</v>
          </cell>
          <cell r="D101">
            <v>0</v>
          </cell>
          <cell r="E101">
            <v>0</v>
          </cell>
          <cell r="F101">
            <v>71429</v>
          </cell>
          <cell r="G101">
            <v>100000</v>
          </cell>
          <cell r="H101">
            <v>50000</v>
          </cell>
          <cell r="I101">
            <v>150000</v>
          </cell>
        </row>
        <row r="102">
          <cell r="B102" t="str">
            <v>Z8 L G AT 2WD 7 STR BS6.2 - New</v>
          </cell>
          <cell r="C102">
            <v>0</v>
          </cell>
          <cell r="D102">
            <v>0</v>
          </cell>
          <cell r="E102">
            <v>0</v>
          </cell>
          <cell r="F102">
            <v>71429</v>
          </cell>
          <cell r="G102">
            <v>100000</v>
          </cell>
          <cell r="H102">
            <v>50000</v>
          </cell>
          <cell r="I102">
            <v>150000</v>
          </cell>
        </row>
        <row r="103">
          <cell r="B103" t="str">
            <v>Z8 L G MT 2WD 6 STR BS6.2 - N</v>
          </cell>
          <cell r="C103">
            <v>0</v>
          </cell>
          <cell r="D103">
            <v>0</v>
          </cell>
          <cell r="E103">
            <v>0</v>
          </cell>
          <cell r="F103">
            <v>71429</v>
          </cell>
          <cell r="G103">
            <v>100000</v>
          </cell>
          <cell r="H103">
            <v>50000</v>
          </cell>
          <cell r="I103">
            <v>150000</v>
          </cell>
        </row>
        <row r="104">
          <cell r="B104" t="str">
            <v>Z8 L G MT 2WD 6 STR BS6.2 - N - ADAS</v>
          </cell>
          <cell r="C104">
            <v>0</v>
          </cell>
          <cell r="D104">
            <v>0</v>
          </cell>
          <cell r="E104">
            <v>0</v>
          </cell>
          <cell r="F104">
            <v>71429</v>
          </cell>
          <cell r="G104">
            <v>100000</v>
          </cell>
          <cell r="H104">
            <v>50000</v>
          </cell>
          <cell r="I104">
            <v>150000</v>
          </cell>
        </row>
        <row r="105">
          <cell r="B105" t="str">
            <v>Z8 L G MT 2WD 6 STR BS6.2 - New</v>
          </cell>
          <cell r="C105">
            <v>0</v>
          </cell>
          <cell r="D105">
            <v>0</v>
          </cell>
          <cell r="E105">
            <v>0</v>
          </cell>
          <cell r="F105">
            <v>71429</v>
          </cell>
          <cell r="G105">
            <v>100000</v>
          </cell>
          <cell r="H105">
            <v>50000</v>
          </cell>
          <cell r="I105">
            <v>150000</v>
          </cell>
        </row>
        <row r="106">
          <cell r="B106" t="str">
            <v>Z8 L G MT 2WD 7 STR BS6.2</v>
          </cell>
          <cell r="C106">
            <v>0</v>
          </cell>
          <cell r="D106">
            <v>0</v>
          </cell>
          <cell r="E106">
            <v>0</v>
          </cell>
          <cell r="F106">
            <v>71429</v>
          </cell>
          <cell r="G106">
            <v>100000</v>
          </cell>
          <cell r="H106">
            <v>50000</v>
          </cell>
          <cell r="I106">
            <v>150000</v>
          </cell>
        </row>
        <row r="107">
          <cell r="B107" t="str">
            <v>Z8 L G MT 2WD 7 STR BS6.2 - N</v>
          </cell>
          <cell r="C107">
            <v>0</v>
          </cell>
          <cell r="D107">
            <v>0</v>
          </cell>
          <cell r="E107">
            <v>0</v>
          </cell>
          <cell r="F107">
            <v>71429</v>
          </cell>
          <cell r="G107">
            <v>100000</v>
          </cell>
          <cell r="H107">
            <v>50000</v>
          </cell>
          <cell r="I107">
            <v>150000</v>
          </cell>
        </row>
        <row r="108">
          <cell r="B108" t="str">
            <v>Z8 L G MT 2WD 7 STR BS6.2 - N - ADAS</v>
          </cell>
          <cell r="C108">
            <v>0</v>
          </cell>
          <cell r="D108">
            <v>0</v>
          </cell>
          <cell r="E108">
            <v>0</v>
          </cell>
          <cell r="F108">
            <v>71429</v>
          </cell>
          <cell r="G108">
            <v>100000</v>
          </cell>
          <cell r="H108">
            <v>50000</v>
          </cell>
          <cell r="I108">
            <v>150000</v>
          </cell>
        </row>
        <row r="109">
          <cell r="B109" t="str">
            <v>Z8 L G MT 2WD 7 STR BS6.2 - N - Black Edition</v>
          </cell>
          <cell r="C109">
            <v>0</v>
          </cell>
          <cell r="D109">
            <v>0</v>
          </cell>
          <cell r="E109">
            <v>0</v>
          </cell>
          <cell r="F109">
            <v>71429</v>
          </cell>
          <cell r="G109">
            <v>100000</v>
          </cell>
          <cell r="H109">
            <v>50000</v>
          </cell>
          <cell r="I109">
            <v>150000</v>
          </cell>
        </row>
        <row r="110">
          <cell r="B110" t="str">
            <v>Z8 L G MT 2WD 7 STR BS6.2 - N - Black Edition - ADAS</v>
          </cell>
          <cell r="C110">
            <v>0</v>
          </cell>
          <cell r="D110">
            <v>0</v>
          </cell>
          <cell r="E110">
            <v>0</v>
          </cell>
          <cell r="F110">
            <v>71429</v>
          </cell>
          <cell r="G110">
            <v>100000</v>
          </cell>
          <cell r="H110">
            <v>50000</v>
          </cell>
          <cell r="I110">
            <v>150000</v>
          </cell>
        </row>
        <row r="111">
          <cell r="B111" t="str">
            <v>Z8 L G MT 2WD 7 STR BS6.2 - New</v>
          </cell>
          <cell r="C111">
            <v>0</v>
          </cell>
          <cell r="D111">
            <v>0</v>
          </cell>
          <cell r="E111">
            <v>0</v>
          </cell>
          <cell r="F111">
            <v>71429</v>
          </cell>
          <cell r="G111">
            <v>100000</v>
          </cell>
          <cell r="H111">
            <v>50000</v>
          </cell>
          <cell r="I111">
            <v>150000</v>
          </cell>
        </row>
        <row r="112">
          <cell r="B112" t="str">
            <v>Z8 S D AT 2WD 7 STR BS6.2 - N</v>
          </cell>
          <cell r="C112">
            <v>0</v>
          </cell>
          <cell r="D112">
            <v>0</v>
          </cell>
          <cell r="E112">
            <v>0</v>
          </cell>
          <cell r="F112">
            <v>21429</v>
          </cell>
          <cell r="G112">
            <v>30000</v>
          </cell>
          <cell r="H112">
            <v>20000</v>
          </cell>
          <cell r="I112">
            <v>50000</v>
          </cell>
        </row>
        <row r="113">
          <cell r="B113" t="str">
            <v>Z8 S D MT 2WD 7 STR BS6.2 - N</v>
          </cell>
          <cell r="C113">
            <v>0</v>
          </cell>
          <cell r="D113">
            <v>0</v>
          </cell>
          <cell r="E113">
            <v>0</v>
          </cell>
          <cell r="F113">
            <v>21429</v>
          </cell>
          <cell r="G113">
            <v>30000</v>
          </cell>
          <cell r="H113">
            <v>20000</v>
          </cell>
          <cell r="I113">
            <v>50000</v>
          </cell>
        </row>
        <row r="114">
          <cell r="B114" t="str">
            <v>Z8 S D MT 2WD 7 STR BS6.2 - New</v>
          </cell>
          <cell r="C114">
            <v>0</v>
          </cell>
          <cell r="D114">
            <v>0</v>
          </cell>
          <cell r="E114">
            <v>0</v>
          </cell>
          <cell r="F114">
            <v>21429</v>
          </cell>
          <cell r="G114">
            <v>30000</v>
          </cell>
          <cell r="H114">
            <v>20000</v>
          </cell>
          <cell r="I114">
            <v>50000</v>
          </cell>
        </row>
        <row r="115">
          <cell r="B115" t="str">
            <v>Z8 S G AT 2WD 7 STR BS6.2 - N</v>
          </cell>
          <cell r="C115">
            <v>0</v>
          </cell>
          <cell r="D115">
            <v>0</v>
          </cell>
          <cell r="E115">
            <v>0</v>
          </cell>
          <cell r="F115">
            <v>71429</v>
          </cell>
          <cell r="G115">
            <v>100000</v>
          </cell>
          <cell r="H115">
            <v>50000</v>
          </cell>
          <cell r="I115">
            <v>150000</v>
          </cell>
        </row>
        <row r="116">
          <cell r="B116" t="str">
            <v>Z8 S G MT 2WD 7 STR BS6.2 - N</v>
          </cell>
          <cell r="C116">
            <v>0</v>
          </cell>
          <cell r="D116">
            <v>0</v>
          </cell>
          <cell r="E116">
            <v>0</v>
          </cell>
          <cell r="F116">
            <v>71429</v>
          </cell>
          <cell r="G116">
            <v>100000</v>
          </cell>
          <cell r="H116">
            <v>50000</v>
          </cell>
          <cell r="I116">
            <v>150000</v>
          </cell>
        </row>
        <row r="117">
          <cell r="B117" t="str">
            <v>Z8T D AT 2WD 7 STR BS6.2 - N</v>
          </cell>
          <cell r="C117">
            <v>0</v>
          </cell>
          <cell r="D117">
            <v>0</v>
          </cell>
          <cell r="E117">
            <v>0</v>
          </cell>
          <cell r="F117">
            <v>21429</v>
          </cell>
          <cell r="G117">
            <v>30000</v>
          </cell>
          <cell r="H117">
            <v>20000</v>
          </cell>
          <cell r="I117">
            <v>50000</v>
          </cell>
        </row>
        <row r="118">
          <cell r="B118" t="str">
            <v>Z8T D AT 2WD 7 STR BS6.2 - N - Black Edition</v>
          </cell>
          <cell r="C118">
            <v>0</v>
          </cell>
          <cell r="D118">
            <v>0</v>
          </cell>
          <cell r="E118">
            <v>0</v>
          </cell>
          <cell r="F118">
            <v>7143</v>
          </cell>
          <cell r="G118">
            <v>10000</v>
          </cell>
          <cell r="H118">
            <v>10000</v>
          </cell>
          <cell r="I118">
            <v>20000</v>
          </cell>
        </row>
        <row r="119">
          <cell r="B119" t="str">
            <v>Z8T D AT 4WD 7 STR BS6.2 - N</v>
          </cell>
          <cell r="C119">
            <v>0</v>
          </cell>
          <cell r="D119">
            <v>0</v>
          </cell>
          <cell r="E119">
            <v>0</v>
          </cell>
          <cell r="F119">
            <v>21429</v>
          </cell>
          <cell r="G119">
            <v>30000</v>
          </cell>
          <cell r="H119">
            <v>20000</v>
          </cell>
          <cell r="I119">
            <v>50000</v>
          </cell>
        </row>
        <row r="120">
          <cell r="B120" t="str">
            <v>Z8T D AT 4WD 7 STR BS6.2 - N - Black Edition</v>
          </cell>
          <cell r="C120">
            <v>0</v>
          </cell>
          <cell r="D120">
            <v>0</v>
          </cell>
          <cell r="E120">
            <v>0</v>
          </cell>
          <cell r="F120">
            <v>7143</v>
          </cell>
          <cell r="G120">
            <v>10000</v>
          </cell>
          <cell r="H120">
            <v>10000</v>
          </cell>
          <cell r="I120">
            <v>20000</v>
          </cell>
        </row>
        <row r="121">
          <cell r="B121" t="str">
            <v>Z8T D MT 2WD 7 STR BS6.2 - N</v>
          </cell>
          <cell r="C121">
            <v>0</v>
          </cell>
          <cell r="D121">
            <v>0</v>
          </cell>
          <cell r="E121">
            <v>0</v>
          </cell>
          <cell r="F121">
            <v>21429</v>
          </cell>
          <cell r="G121">
            <v>30000</v>
          </cell>
          <cell r="H121">
            <v>20000</v>
          </cell>
          <cell r="I121">
            <v>50000</v>
          </cell>
        </row>
        <row r="122">
          <cell r="B122" t="str">
            <v>Z8T D MT 2WD 7 STR BS6.2 - N - Black Edition</v>
          </cell>
          <cell r="C122">
            <v>0</v>
          </cell>
          <cell r="D122">
            <v>0</v>
          </cell>
          <cell r="E122">
            <v>0</v>
          </cell>
          <cell r="F122">
            <v>7143</v>
          </cell>
          <cell r="G122">
            <v>10000</v>
          </cell>
          <cell r="H122">
            <v>10000</v>
          </cell>
          <cell r="I122">
            <v>20000</v>
          </cell>
        </row>
        <row r="123">
          <cell r="B123" t="str">
            <v>Z8T D MT 4WD 7 STR BS6.2 - N</v>
          </cell>
          <cell r="C123">
            <v>0</v>
          </cell>
          <cell r="D123">
            <v>0</v>
          </cell>
          <cell r="E123">
            <v>0</v>
          </cell>
          <cell r="F123">
            <v>21429</v>
          </cell>
          <cell r="G123">
            <v>30000</v>
          </cell>
          <cell r="H123">
            <v>20000</v>
          </cell>
          <cell r="I123">
            <v>50000</v>
          </cell>
        </row>
        <row r="124">
          <cell r="B124" t="str">
            <v>Z8T D MT 4WD 7 STR BS6.2 - N - Black Edition</v>
          </cell>
          <cell r="C124">
            <v>0</v>
          </cell>
          <cell r="D124">
            <v>0</v>
          </cell>
          <cell r="E124">
            <v>0</v>
          </cell>
          <cell r="F124">
            <v>7143</v>
          </cell>
          <cell r="G124">
            <v>10000</v>
          </cell>
          <cell r="H124">
            <v>10000</v>
          </cell>
          <cell r="I124">
            <v>20000</v>
          </cell>
        </row>
        <row r="125">
          <cell r="B125" t="str">
            <v>Z8T G AT 2WD 7 STR BS6.2 - N</v>
          </cell>
          <cell r="C125">
            <v>0</v>
          </cell>
          <cell r="D125">
            <v>0</v>
          </cell>
          <cell r="E125">
            <v>0</v>
          </cell>
          <cell r="F125">
            <v>71429</v>
          </cell>
          <cell r="G125">
            <v>100000</v>
          </cell>
          <cell r="H125">
            <v>50000</v>
          </cell>
          <cell r="I125">
            <v>150000</v>
          </cell>
        </row>
        <row r="126">
          <cell r="B126" t="str">
            <v>Z8T G AT 2WD 7 STR BS6.2 - N - Black Edition</v>
          </cell>
          <cell r="C126">
            <v>0</v>
          </cell>
          <cell r="D126">
            <v>0</v>
          </cell>
          <cell r="E126">
            <v>0</v>
          </cell>
          <cell r="F126">
            <v>71429</v>
          </cell>
          <cell r="G126">
            <v>100000</v>
          </cell>
          <cell r="H126">
            <v>50000</v>
          </cell>
          <cell r="I126">
            <v>150000</v>
          </cell>
        </row>
        <row r="127">
          <cell r="B127" t="str">
            <v>Z8T G MT 2WD 7 STR BS6.2 - N</v>
          </cell>
          <cell r="C127">
            <v>0</v>
          </cell>
          <cell r="D127">
            <v>0</v>
          </cell>
          <cell r="E127">
            <v>0</v>
          </cell>
          <cell r="F127">
            <v>71429</v>
          </cell>
          <cell r="G127">
            <v>100000</v>
          </cell>
          <cell r="H127">
            <v>50000</v>
          </cell>
          <cell r="I127">
            <v>150000</v>
          </cell>
        </row>
        <row r="128">
          <cell r="B128" t="str">
            <v>Z8T G MT 2WD 7 STR BS6.2 - N - Black Edition</v>
          </cell>
          <cell r="C128">
            <v>0</v>
          </cell>
          <cell r="D128">
            <v>0</v>
          </cell>
          <cell r="E128">
            <v>0</v>
          </cell>
          <cell r="F128">
            <v>71429</v>
          </cell>
          <cell r="G128">
            <v>100000</v>
          </cell>
          <cell r="H128">
            <v>50000</v>
          </cell>
          <cell r="I128">
            <v>150000</v>
          </cell>
        </row>
        <row r="129">
          <cell r="B129" t="str">
            <v>AX D MT 2WD 4S HT BS6.2 - NT</v>
          </cell>
          <cell r="C129">
            <v>0</v>
          </cell>
          <cell r="D129">
            <v>0</v>
          </cell>
          <cell r="E129">
            <v>0</v>
          </cell>
          <cell r="F129">
            <v>25424</v>
          </cell>
          <cell r="G129">
            <v>30000</v>
          </cell>
          <cell r="H129">
            <v>20000</v>
          </cell>
          <cell r="I129">
            <v>50000</v>
          </cell>
        </row>
        <row r="130">
          <cell r="B130" t="str">
            <v>AX OPT D MT 2WD 4S HT BS6.2</v>
          </cell>
          <cell r="C130">
            <v>0</v>
          </cell>
          <cell r="D130">
            <v>0</v>
          </cell>
          <cell r="E130">
            <v>0</v>
          </cell>
          <cell r="F130">
            <v>25424</v>
          </cell>
          <cell r="G130">
            <v>30000</v>
          </cell>
          <cell r="H130">
            <v>20000</v>
          </cell>
          <cell r="I130">
            <v>50000</v>
          </cell>
        </row>
        <row r="131">
          <cell r="B131" t="str">
            <v>AX OPT D MT 4WD 4S CT BS6.2</v>
          </cell>
          <cell r="C131">
            <v>0</v>
          </cell>
          <cell r="D131">
            <v>0</v>
          </cell>
          <cell r="E131">
            <v>0</v>
          </cell>
          <cell r="F131">
            <v>21429</v>
          </cell>
          <cell r="G131">
            <v>30000</v>
          </cell>
          <cell r="H131">
            <v>20000</v>
          </cell>
          <cell r="I131">
            <v>50000</v>
          </cell>
        </row>
        <row r="132">
          <cell r="B132" t="str">
            <v>AX OPT D MT 4WD 4S HT BS6.2</v>
          </cell>
          <cell r="C132">
            <v>0</v>
          </cell>
          <cell r="D132">
            <v>0</v>
          </cell>
          <cell r="E132">
            <v>0</v>
          </cell>
          <cell r="F132">
            <v>21429</v>
          </cell>
          <cell r="G132">
            <v>30000</v>
          </cell>
          <cell r="H132">
            <v>20000</v>
          </cell>
          <cell r="I132">
            <v>50000</v>
          </cell>
        </row>
        <row r="133">
          <cell r="B133" t="str">
            <v>AXT D MT 2WD 4S HT BS6.2</v>
          </cell>
          <cell r="C133">
            <v>0</v>
          </cell>
          <cell r="D133">
            <v>0</v>
          </cell>
          <cell r="E133">
            <v>0</v>
          </cell>
          <cell r="F133">
            <v>25424</v>
          </cell>
          <cell r="G133">
            <v>30000</v>
          </cell>
          <cell r="H133">
            <v>20000</v>
          </cell>
          <cell r="I133">
            <v>50000</v>
          </cell>
        </row>
        <row r="134">
          <cell r="B134" t="str">
            <v>LX D AT 4WD 4S CT BS6.2</v>
          </cell>
          <cell r="C134">
            <v>0</v>
          </cell>
          <cell r="D134">
            <v>0</v>
          </cell>
          <cell r="E134">
            <v>0</v>
          </cell>
          <cell r="F134">
            <v>21429</v>
          </cell>
          <cell r="G134">
            <v>30000</v>
          </cell>
          <cell r="H134">
            <v>20000</v>
          </cell>
          <cell r="I134">
            <v>50000</v>
          </cell>
        </row>
        <row r="135">
          <cell r="B135" t="str">
            <v>LX D AT 4WD 4S HT BS6.2</v>
          </cell>
          <cell r="C135">
            <v>0</v>
          </cell>
          <cell r="D135">
            <v>0</v>
          </cell>
          <cell r="E135">
            <v>0</v>
          </cell>
          <cell r="F135">
            <v>21429</v>
          </cell>
          <cell r="G135">
            <v>30000</v>
          </cell>
          <cell r="H135">
            <v>20000</v>
          </cell>
          <cell r="I135">
            <v>50000</v>
          </cell>
        </row>
        <row r="136">
          <cell r="B136" t="str">
            <v>LX D AT 4WD 4S HT BS6.2 - NT</v>
          </cell>
          <cell r="C136">
            <v>0</v>
          </cell>
          <cell r="D136">
            <v>0</v>
          </cell>
          <cell r="E136">
            <v>0</v>
          </cell>
          <cell r="F136">
            <v>21429</v>
          </cell>
          <cell r="G136">
            <v>30000</v>
          </cell>
          <cell r="H136">
            <v>20000</v>
          </cell>
          <cell r="I136">
            <v>50000</v>
          </cell>
        </row>
        <row r="137">
          <cell r="B137" t="str">
            <v>LX D MT 2WD 4S HT BS6.2</v>
          </cell>
          <cell r="C137">
            <v>0</v>
          </cell>
          <cell r="D137">
            <v>0</v>
          </cell>
          <cell r="E137">
            <v>0</v>
          </cell>
          <cell r="F137">
            <v>25424</v>
          </cell>
          <cell r="G137">
            <v>30000</v>
          </cell>
          <cell r="H137">
            <v>20000</v>
          </cell>
          <cell r="I137">
            <v>50000</v>
          </cell>
        </row>
        <row r="138">
          <cell r="B138" t="str">
            <v>LX D MT 2WD 4S HT BS6.2 - NT</v>
          </cell>
          <cell r="C138">
            <v>0</v>
          </cell>
          <cell r="D138">
            <v>0</v>
          </cell>
          <cell r="E138">
            <v>0</v>
          </cell>
          <cell r="F138">
            <v>25424</v>
          </cell>
          <cell r="G138">
            <v>30000</v>
          </cell>
          <cell r="H138">
            <v>20000</v>
          </cell>
          <cell r="I138">
            <v>50000</v>
          </cell>
        </row>
        <row r="139">
          <cell r="B139" t="str">
            <v>LX D MT 4WD 4S CT BS6.2</v>
          </cell>
          <cell r="C139">
            <v>0</v>
          </cell>
          <cell r="D139">
            <v>0</v>
          </cell>
          <cell r="E139">
            <v>0</v>
          </cell>
          <cell r="F139">
            <v>21429</v>
          </cell>
          <cell r="G139">
            <v>30000</v>
          </cell>
          <cell r="H139">
            <v>20000</v>
          </cell>
          <cell r="I139">
            <v>50000</v>
          </cell>
        </row>
        <row r="140">
          <cell r="B140" t="str">
            <v>LX D MT 4WD 4S HT BS6.2</v>
          </cell>
          <cell r="C140">
            <v>0</v>
          </cell>
          <cell r="D140">
            <v>0</v>
          </cell>
          <cell r="E140">
            <v>0</v>
          </cell>
          <cell r="F140">
            <v>21429</v>
          </cell>
          <cell r="G140">
            <v>30000</v>
          </cell>
          <cell r="H140">
            <v>20000</v>
          </cell>
          <cell r="I140">
            <v>50000</v>
          </cell>
        </row>
        <row r="141">
          <cell r="B141" t="str">
            <v>LX D MT 4WD 4S HT BS6.2 - Earth Edition</v>
          </cell>
          <cell r="C141">
            <v>0</v>
          </cell>
          <cell r="D141">
            <v>0</v>
          </cell>
          <cell r="E141">
            <v>0</v>
          </cell>
          <cell r="F141">
            <v>21429</v>
          </cell>
          <cell r="G141">
            <v>30000</v>
          </cell>
          <cell r="H141">
            <v>20000</v>
          </cell>
          <cell r="I141">
            <v>50000</v>
          </cell>
        </row>
        <row r="142">
          <cell r="B142" t="str">
            <v>LX D MT 4WD 4S HT BS6.2 - NT</v>
          </cell>
          <cell r="C142">
            <v>0</v>
          </cell>
          <cell r="D142">
            <v>0</v>
          </cell>
          <cell r="E142">
            <v>0</v>
          </cell>
          <cell r="F142">
            <v>21429</v>
          </cell>
          <cell r="G142">
            <v>30000</v>
          </cell>
          <cell r="H142">
            <v>20000</v>
          </cell>
          <cell r="I142">
            <v>50000</v>
          </cell>
        </row>
        <row r="143">
          <cell r="B143" t="str">
            <v>LX P AT 2WD 4S HT BS6.2</v>
          </cell>
          <cell r="C143">
            <v>0</v>
          </cell>
          <cell r="D143">
            <v>0</v>
          </cell>
          <cell r="E143">
            <v>0</v>
          </cell>
          <cell r="F143">
            <v>21429</v>
          </cell>
          <cell r="G143">
            <v>30000</v>
          </cell>
          <cell r="H143">
            <v>20000</v>
          </cell>
          <cell r="I143">
            <v>50000</v>
          </cell>
        </row>
        <row r="144">
          <cell r="B144" t="str">
            <v>LX P AT 2WD 4S HT BS6.2 - NT</v>
          </cell>
          <cell r="C144">
            <v>0</v>
          </cell>
          <cell r="D144">
            <v>0</v>
          </cell>
          <cell r="E144">
            <v>0</v>
          </cell>
          <cell r="F144">
            <v>21429</v>
          </cell>
          <cell r="G144">
            <v>30000</v>
          </cell>
          <cell r="H144">
            <v>20000</v>
          </cell>
          <cell r="I144">
            <v>50000</v>
          </cell>
        </row>
        <row r="145">
          <cell r="B145" t="str">
            <v>LX P AT 4WD 4S CT BS6.2</v>
          </cell>
          <cell r="C145">
            <v>0</v>
          </cell>
          <cell r="D145">
            <v>0</v>
          </cell>
          <cell r="E145">
            <v>0</v>
          </cell>
          <cell r="F145">
            <v>21429</v>
          </cell>
          <cell r="G145">
            <v>30000</v>
          </cell>
          <cell r="H145">
            <v>20000</v>
          </cell>
          <cell r="I145">
            <v>50000</v>
          </cell>
        </row>
        <row r="146">
          <cell r="B146" t="str">
            <v>LX P AT 4WD 4S HT BS6.2</v>
          </cell>
          <cell r="C146">
            <v>0</v>
          </cell>
          <cell r="D146">
            <v>0</v>
          </cell>
          <cell r="E146">
            <v>0</v>
          </cell>
          <cell r="F146">
            <v>21429</v>
          </cell>
          <cell r="G146">
            <v>30000</v>
          </cell>
          <cell r="H146">
            <v>20000</v>
          </cell>
          <cell r="I146">
            <v>50000</v>
          </cell>
        </row>
        <row r="147">
          <cell r="B147" t="str">
            <v>LX P AT 4WD 4S HT BS6.2 - NT</v>
          </cell>
          <cell r="C147">
            <v>0</v>
          </cell>
          <cell r="D147">
            <v>0</v>
          </cell>
          <cell r="E147">
            <v>0</v>
          </cell>
          <cell r="F147">
            <v>21429</v>
          </cell>
          <cell r="G147">
            <v>30000</v>
          </cell>
          <cell r="H147">
            <v>20000</v>
          </cell>
          <cell r="I147">
            <v>50000</v>
          </cell>
        </row>
        <row r="148">
          <cell r="B148" t="str">
            <v>LX P MT 4WD 4S HT BS6.2</v>
          </cell>
          <cell r="C148">
            <v>0</v>
          </cell>
          <cell r="D148">
            <v>0</v>
          </cell>
          <cell r="E148">
            <v>0</v>
          </cell>
          <cell r="F148">
            <v>21429</v>
          </cell>
          <cell r="G148">
            <v>30000</v>
          </cell>
          <cell r="H148">
            <v>20000</v>
          </cell>
          <cell r="I148">
            <v>50000</v>
          </cell>
        </row>
        <row r="149">
          <cell r="B149" t="str">
            <v>LX P MT 4WD 4S HT BS6.2 - NT</v>
          </cell>
          <cell r="C149">
            <v>0</v>
          </cell>
          <cell r="D149">
            <v>0</v>
          </cell>
          <cell r="E149">
            <v>0</v>
          </cell>
          <cell r="F149">
            <v>21429</v>
          </cell>
          <cell r="G149">
            <v>30000</v>
          </cell>
          <cell r="H149">
            <v>20000</v>
          </cell>
          <cell r="I149">
            <v>50000</v>
          </cell>
        </row>
        <row r="150">
          <cell r="B150" t="str">
            <v>LXT D AT 4WD 4S HT BS6.2</v>
          </cell>
          <cell r="C150">
            <v>0</v>
          </cell>
          <cell r="D150">
            <v>0</v>
          </cell>
          <cell r="E150">
            <v>0</v>
          </cell>
          <cell r="F150">
            <v>21429</v>
          </cell>
          <cell r="G150">
            <v>30000</v>
          </cell>
          <cell r="H150">
            <v>20000</v>
          </cell>
          <cell r="I150">
            <v>50000</v>
          </cell>
        </row>
        <row r="151">
          <cell r="B151" t="str">
            <v>LXT D MT 2WD 4S HT BS6.2</v>
          </cell>
          <cell r="C151">
            <v>0</v>
          </cell>
          <cell r="D151">
            <v>0</v>
          </cell>
          <cell r="E151">
            <v>0</v>
          </cell>
          <cell r="F151">
            <v>25424</v>
          </cell>
          <cell r="G151">
            <v>30000</v>
          </cell>
          <cell r="H151">
            <v>20000</v>
          </cell>
          <cell r="I151">
            <v>50000</v>
          </cell>
        </row>
        <row r="152">
          <cell r="B152" t="str">
            <v>LXT D MT 4WD 4S HT BS6.2</v>
          </cell>
          <cell r="C152">
            <v>0</v>
          </cell>
          <cell r="D152">
            <v>0</v>
          </cell>
          <cell r="E152">
            <v>0</v>
          </cell>
          <cell r="F152">
            <v>21429</v>
          </cell>
          <cell r="G152">
            <v>30000</v>
          </cell>
          <cell r="H152">
            <v>20000</v>
          </cell>
          <cell r="I152">
            <v>50000</v>
          </cell>
        </row>
        <row r="153">
          <cell r="B153" t="str">
            <v>LXT P AT 2WD 4S HT BS6.2</v>
          </cell>
          <cell r="C153">
            <v>0</v>
          </cell>
          <cell r="D153">
            <v>0</v>
          </cell>
          <cell r="E153">
            <v>0</v>
          </cell>
          <cell r="F153">
            <v>21429</v>
          </cell>
          <cell r="G153">
            <v>30000</v>
          </cell>
          <cell r="H153">
            <v>20000</v>
          </cell>
          <cell r="I153">
            <v>50000</v>
          </cell>
        </row>
        <row r="154">
          <cell r="B154" t="str">
            <v>LXT P AT 4WD 4S HT BS6.2</v>
          </cell>
          <cell r="C154">
            <v>0</v>
          </cell>
          <cell r="D154">
            <v>0</v>
          </cell>
          <cell r="E154">
            <v>0</v>
          </cell>
          <cell r="F154">
            <v>21429</v>
          </cell>
          <cell r="G154">
            <v>30000</v>
          </cell>
          <cell r="H154">
            <v>20000</v>
          </cell>
          <cell r="I154">
            <v>50000</v>
          </cell>
        </row>
        <row r="155">
          <cell r="B155" t="str">
            <v>LXT P MT 4WD 4S HT BS6.2</v>
          </cell>
          <cell r="C155">
            <v>0</v>
          </cell>
          <cell r="D155">
            <v>0</v>
          </cell>
          <cell r="E155">
            <v>0</v>
          </cell>
          <cell r="F155">
            <v>21429</v>
          </cell>
          <cell r="G155">
            <v>30000</v>
          </cell>
          <cell r="H155">
            <v>20000</v>
          </cell>
          <cell r="I155">
            <v>50000</v>
          </cell>
        </row>
        <row r="156">
          <cell r="B156" t="str">
            <v>AX3L DMT 2WD</v>
          </cell>
          <cell r="C156">
            <v>0</v>
          </cell>
          <cell r="D156">
            <v>0</v>
          </cell>
          <cell r="E156">
            <v>0</v>
          </cell>
          <cell r="F156">
            <v>21429</v>
          </cell>
          <cell r="G156">
            <v>30000</v>
          </cell>
          <cell r="H156">
            <v>20000</v>
          </cell>
          <cell r="I156">
            <v>50000</v>
          </cell>
        </row>
        <row r="157">
          <cell r="B157" t="str">
            <v>AX5L DAT 2WD</v>
          </cell>
          <cell r="C157">
            <v>0</v>
          </cell>
          <cell r="D157">
            <v>0</v>
          </cell>
          <cell r="E157">
            <v>0</v>
          </cell>
          <cell r="F157">
            <v>50000</v>
          </cell>
          <cell r="G157">
            <v>70000</v>
          </cell>
          <cell r="H157">
            <v>30000</v>
          </cell>
          <cell r="I157">
            <v>100000</v>
          </cell>
        </row>
        <row r="158">
          <cell r="B158" t="str">
            <v>AX5L DAT 4WD</v>
          </cell>
          <cell r="C158">
            <v>0</v>
          </cell>
          <cell r="D158">
            <v>0</v>
          </cell>
          <cell r="E158">
            <v>0</v>
          </cell>
          <cell r="F158">
            <v>42857</v>
          </cell>
          <cell r="G158">
            <v>60000</v>
          </cell>
          <cell r="H158">
            <v>40000</v>
          </cell>
          <cell r="I158">
            <v>100000</v>
          </cell>
        </row>
        <row r="159">
          <cell r="B159" t="str">
            <v>AX5L DAT 4WD - Mocha Interiors</v>
          </cell>
          <cell r="C159">
            <v>0</v>
          </cell>
          <cell r="D159">
            <v>0</v>
          </cell>
          <cell r="E159">
            <v>0</v>
          </cell>
          <cell r="F159">
            <v>42857</v>
          </cell>
          <cell r="G159">
            <v>60000</v>
          </cell>
          <cell r="H159">
            <v>40000</v>
          </cell>
          <cell r="I159">
            <v>100000</v>
          </cell>
        </row>
        <row r="160">
          <cell r="B160" t="str">
            <v>AX7L DAT 2WD</v>
          </cell>
          <cell r="C160">
            <v>0</v>
          </cell>
          <cell r="D160">
            <v>0</v>
          </cell>
          <cell r="E160">
            <v>0</v>
          </cell>
          <cell r="F160">
            <v>71429</v>
          </cell>
          <cell r="G160">
            <v>100000</v>
          </cell>
          <cell r="H160">
            <v>50000</v>
          </cell>
          <cell r="I160">
            <v>150000</v>
          </cell>
        </row>
        <row r="161">
          <cell r="B161" t="str">
            <v>AX7L DAT 2WD - Mocha Interiors</v>
          </cell>
          <cell r="C161">
            <v>0</v>
          </cell>
          <cell r="D161">
            <v>0</v>
          </cell>
          <cell r="E161">
            <v>0</v>
          </cell>
          <cell r="F161">
            <v>71429</v>
          </cell>
          <cell r="G161">
            <v>100000</v>
          </cell>
          <cell r="H161">
            <v>50000</v>
          </cell>
          <cell r="I161">
            <v>150000</v>
          </cell>
        </row>
        <row r="162">
          <cell r="B162" t="str">
            <v>AX7L DAT 4WD</v>
          </cell>
          <cell r="C162">
            <v>0</v>
          </cell>
          <cell r="D162">
            <v>0</v>
          </cell>
          <cell r="E162">
            <v>0</v>
          </cell>
          <cell r="F162">
            <v>100000</v>
          </cell>
          <cell r="G162">
            <v>140000</v>
          </cell>
          <cell r="H162">
            <v>60000</v>
          </cell>
          <cell r="I162">
            <v>200000</v>
          </cell>
        </row>
        <row r="163">
          <cell r="B163" t="str">
            <v>AX7L DAT 4WD - Demo</v>
          </cell>
          <cell r="C163">
            <v>0</v>
          </cell>
          <cell r="D163">
            <v>0</v>
          </cell>
          <cell r="E163">
            <v>0</v>
          </cell>
          <cell r="F163">
            <v>100000</v>
          </cell>
          <cell r="G163">
            <v>140000</v>
          </cell>
          <cell r="H163">
            <v>60000</v>
          </cell>
          <cell r="I163">
            <v>200000</v>
          </cell>
        </row>
        <row r="164">
          <cell r="B164" t="str">
            <v>AX7L DAT 4WD - Mocha Interiors</v>
          </cell>
          <cell r="C164">
            <v>0</v>
          </cell>
          <cell r="D164">
            <v>0</v>
          </cell>
          <cell r="E164">
            <v>0</v>
          </cell>
          <cell r="F164">
            <v>100000</v>
          </cell>
          <cell r="G164">
            <v>140000</v>
          </cell>
          <cell r="H164">
            <v>60000</v>
          </cell>
          <cell r="I164">
            <v>200000</v>
          </cell>
        </row>
        <row r="165">
          <cell r="B165" t="str">
            <v>AX7L DMT 2WD</v>
          </cell>
          <cell r="C165">
            <v>0</v>
          </cell>
          <cell r="D165">
            <v>0</v>
          </cell>
          <cell r="E165">
            <v>0</v>
          </cell>
          <cell r="F165">
            <v>71429</v>
          </cell>
          <cell r="G165">
            <v>100000</v>
          </cell>
          <cell r="H165">
            <v>50000</v>
          </cell>
          <cell r="I165">
            <v>150000</v>
          </cell>
        </row>
        <row r="166">
          <cell r="B166" t="str">
            <v>AX7L DMT 2WD - Demo</v>
          </cell>
          <cell r="C166">
            <v>0</v>
          </cell>
          <cell r="D166">
            <v>0</v>
          </cell>
          <cell r="E166">
            <v>0</v>
          </cell>
          <cell r="F166">
            <v>71429</v>
          </cell>
          <cell r="G166">
            <v>100000</v>
          </cell>
          <cell r="H166">
            <v>50000</v>
          </cell>
          <cell r="I166">
            <v>150000</v>
          </cell>
        </row>
        <row r="167">
          <cell r="B167" t="str">
            <v>AX7L DMT 2WD - Mocha Interiors</v>
          </cell>
          <cell r="C167">
            <v>0</v>
          </cell>
          <cell r="D167">
            <v>0</v>
          </cell>
          <cell r="E167">
            <v>0</v>
          </cell>
          <cell r="F167">
            <v>71429</v>
          </cell>
          <cell r="G167">
            <v>100000</v>
          </cell>
          <cell r="H167">
            <v>50000</v>
          </cell>
          <cell r="I167">
            <v>150000</v>
          </cell>
        </row>
        <row r="168">
          <cell r="B168" t="str">
            <v>AX7L DMT 4WD</v>
          </cell>
          <cell r="C168">
            <v>0</v>
          </cell>
          <cell r="D168">
            <v>0</v>
          </cell>
          <cell r="E168">
            <v>0</v>
          </cell>
          <cell r="F168">
            <v>100000</v>
          </cell>
          <cell r="G168">
            <v>140000</v>
          </cell>
          <cell r="H168">
            <v>60000</v>
          </cell>
          <cell r="I168">
            <v>200000</v>
          </cell>
        </row>
        <row r="169">
          <cell r="B169" t="str">
            <v>AX7L DMT 4WD - Mocha Interiors</v>
          </cell>
          <cell r="C169">
            <v>0</v>
          </cell>
          <cell r="D169">
            <v>0</v>
          </cell>
          <cell r="E169">
            <v>0</v>
          </cell>
          <cell r="F169">
            <v>100000</v>
          </cell>
          <cell r="G169">
            <v>140000</v>
          </cell>
          <cell r="H169">
            <v>60000</v>
          </cell>
          <cell r="I169">
            <v>200000</v>
          </cell>
        </row>
        <row r="170">
          <cell r="B170" t="str">
            <v>AX7L PAT 2WD</v>
          </cell>
          <cell r="C170">
            <v>0</v>
          </cell>
          <cell r="D170">
            <v>0</v>
          </cell>
          <cell r="E170">
            <v>0</v>
          </cell>
          <cell r="F170">
            <v>71429</v>
          </cell>
          <cell r="G170">
            <v>100000</v>
          </cell>
          <cell r="H170">
            <v>50000</v>
          </cell>
          <cell r="I170">
            <v>150000</v>
          </cell>
        </row>
        <row r="171">
          <cell r="B171" t="str">
            <v>AX7L PAT 2WD - Demo</v>
          </cell>
          <cell r="C171">
            <v>0</v>
          </cell>
          <cell r="D171">
            <v>0</v>
          </cell>
          <cell r="E171">
            <v>0</v>
          </cell>
          <cell r="F171">
            <v>71429</v>
          </cell>
          <cell r="G171">
            <v>100000</v>
          </cell>
          <cell r="H171">
            <v>50000</v>
          </cell>
          <cell r="I171">
            <v>150000</v>
          </cell>
        </row>
        <row r="172">
          <cell r="B172" t="str">
            <v>AX7L PAT 2WD - Mocha Interiors</v>
          </cell>
          <cell r="C172">
            <v>0</v>
          </cell>
          <cell r="D172">
            <v>0</v>
          </cell>
          <cell r="E172">
            <v>0</v>
          </cell>
          <cell r="F172">
            <v>71429</v>
          </cell>
          <cell r="G172">
            <v>100000</v>
          </cell>
          <cell r="H172">
            <v>50000</v>
          </cell>
          <cell r="I172">
            <v>150000</v>
          </cell>
        </row>
        <row r="173">
          <cell r="B173" t="str">
            <v>MX1 DMT 2WD</v>
          </cell>
          <cell r="C173">
            <v>0</v>
          </cell>
          <cell r="D173">
            <v>0</v>
          </cell>
          <cell r="E173">
            <v>0</v>
          </cell>
          <cell r="F173">
            <v>10714</v>
          </cell>
          <cell r="G173">
            <v>15000</v>
          </cell>
          <cell r="H173">
            <v>15000</v>
          </cell>
          <cell r="I173">
            <v>30000</v>
          </cell>
        </row>
        <row r="174">
          <cell r="B174" t="str">
            <v>MX1 PMT 2WD</v>
          </cell>
          <cell r="C174">
            <v>0</v>
          </cell>
          <cell r="D174">
            <v>0</v>
          </cell>
          <cell r="E174">
            <v>0</v>
          </cell>
          <cell r="F174">
            <v>10714</v>
          </cell>
          <cell r="G174">
            <v>15000</v>
          </cell>
          <cell r="H174">
            <v>15000</v>
          </cell>
          <cell r="I174">
            <v>30000</v>
          </cell>
        </row>
        <row r="175">
          <cell r="B175" t="str">
            <v>MX3 DAT 2WD</v>
          </cell>
          <cell r="C175">
            <v>0</v>
          </cell>
          <cell r="D175">
            <v>0</v>
          </cell>
          <cell r="E175">
            <v>0</v>
          </cell>
          <cell r="F175">
            <v>21429</v>
          </cell>
          <cell r="G175">
            <v>30000</v>
          </cell>
          <cell r="H175">
            <v>20000</v>
          </cell>
          <cell r="I175">
            <v>50000</v>
          </cell>
        </row>
        <row r="176">
          <cell r="B176" t="str">
            <v>MX3 DMT 2WD</v>
          </cell>
          <cell r="C176">
            <v>0</v>
          </cell>
          <cell r="D176">
            <v>0</v>
          </cell>
          <cell r="E176">
            <v>0</v>
          </cell>
          <cell r="F176">
            <v>21429</v>
          </cell>
          <cell r="G176">
            <v>30000</v>
          </cell>
          <cell r="H176">
            <v>20000</v>
          </cell>
          <cell r="I176">
            <v>50000</v>
          </cell>
        </row>
        <row r="177">
          <cell r="B177" t="str">
            <v>MX3 PAT 2WD</v>
          </cell>
          <cell r="C177">
            <v>0</v>
          </cell>
          <cell r="D177">
            <v>0</v>
          </cell>
          <cell r="E177">
            <v>0</v>
          </cell>
          <cell r="F177">
            <v>21429</v>
          </cell>
          <cell r="G177">
            <v>30000</v>
          </cell>
          <cell r="H177">
            <v>20000</v>
          </cell>
          <cell r="I177">
            <v>50000</v>
          </cell>
        </row>
        <row r="178">
          <cell r="B178" t="str">
            <v>MX5 DAT 2WD</v>
          </cell>
          <cell r="C178">
            <v>0</v>
          </cell>
          <cell r="D178">
            <v>0</v>
          </cell>
          <cell r="E178">
            <v>0</v>
          </cell>
          <cell r="F178">
            <v>50000</v>
          </cell>
          <cell r="G178">
            <v>70000</v>
          </cell>
          <cell r="H178">
            <v>30000</v>
          </cell>
          <cell r="I178">
            <v>100000</v>
          </cell>
        </row>
        <row r="179">
          <cell r="B179" t="str">
            <v>MX5 DMT 2WD</v>
          </cell>
          <cell r="C179">
            <v>0</v>
          </cell>
          <cell r="D179">
            <v>0</v>
          </cell>
          <cell r="E179">
            <v>0</v>
          </cell>
          <cell r="F179">
            <v>50000</v>
          </cell>
          <cell r="G179">
            <v>70000</v>
          </cell>
          <cell r="H179">
            <v>30000</v>
          </cell>
          <cell r="I179">
            <v>100000</v>
          </cell>
        </row>
        <row r="180">
          <cell r="B180" t="str">
            <v>MX5 DMT 4WD</v>
          </cell>
          <cell r="C180">
            <v>0</v>
          </cell>
          <cell r="D180">
            <v>0</v>
          </cell>
          <cell r="E180">
            <v>0</v>
          </cell>
          <cell r="F180">
            <v>42857</v>
          </cell>
          <cell r="G180">
            <v>60000</v>
          </cell>
          <cell r="H180">
            <v>40000</v>
          </cell>
          <cell r="I180">
            <v>100000</v>
          </cell>
        </row>
        <row r="181">
          <cell r="B181" t="str">
            <v>MX5 DMT 4WD - Mocha Interiors</v>
          </cell>
          <cell r="C181">
            <v>0</v>
          </cell>
          <cell r="D181">
            <v>0</v>
          </cell>
          <cell r="E181">
            <v>0</v>
          </cell>
          <cell r="F181">
            <v>42857</v>
          </cell>
          <cell r="G181">
            <v>60000</v>
          </cell>
          <cell r="H181">
            <v>40000</v>
          </cell>
          <cell r="I181">
            <v>100000</v>
          </cell>
        </row>
        <row r="182">
          <cell r="B182" t="str">
            <v>MX5 PAT 2WD</v>
          </cell>
          <cell r="C182">
            <v>0</v>
          </cell>
          <cell r="D182">
            <v>0</v>
          </cell>
          <cell r="E182">
            <v>0</v>
          </cell>
          <cell r="F182">
            <v>50000</v>
          </cell>
          <cell r="G182">
            <v>70000</v>
          </cell>
          <cell r="H182">
            <v>30000</v>
          </cell>
          <cell r="I182">
            <v>100000</v>
          </cell>
        </row>
        <row r="183">
          <cell r="B183" t="str">
            <v>MX5 PMT 2WD</v>
          </cell>
          <cell r="C183">
            <v>0</v>
          </cell>
          <cell r="D183">
            <v>0</v>
          </cell>
          <cell r="E183">
            <v>0</v>
          </cell>
          <cell r="F183">
            <v>50000</v>
          </cell>
          <cell r="G183">
            <v>70000</v>
          </cell>
          <cell r="H183">
            <v>30000</v>
          </cell>
          <cell r="I183">
            <v>100000</v>
          </cell>
        </row>
        <row r="184">
          <cell r="B184" t="str">
            <v>AX5 DS AS</v>
          </cell>
          <cell r="C184">
            <v>0</v>
          </cell>
          <cell r="D184">
            <v>0</v>
          </cell>
          <cell r="E184">
            <v>0</v>
          </cell>
          <cell r="F184">
            <v>8475</v>
          </cell>
          <cell r="G184">
            <v>10000</v>
          </cell>
          <cell r="H184">
            <v>10000</v>
          </cell>
          <cell r="I184">
            <v>20000</v>
          </cell>
        </row>
        <row r="185">
          <cell r="B185" t="str">
            <v>AX5 DS MT</v>
          </cell>
          <cell r="C185">
            <v>0</v>
          </cell>
          <cell r="D185">
            <v>0</v>
          </cell>
          <cell r="E185">
            <v>0</v>
          </cell>
          <cell r="F185">
            <v>8475</v>
          </cell>
          <cell r="G185">
            <v>10000</v>
          </cell>
          <cell r="H185">
            <v>10000</v>
          </cell>
          <cell r="I185">
            <v>20000</v>
          </cell>
        </row>
        <row r="186">
          <cell r="B186" t="str">
            <v>AX5 PM AT</v>
          </cell>
          <cell r="C186">
            <v>8475</v>
          </cell>
          <cell r="D186">
            <v>10001</v>
          </cell>
          <cell r="E186">
            <v>10001</v>
          </cell>
          <cell r="F186">
            <v>16949</v>
          </cell>
          <cell r="G186">
            <v>20000</v>
          </cell>
          <cell r="H186">
            <v>20000</v>
          </cell>
          <cell r="I186">
            <v>40000</v>
          </cell>
        </row>
        <row r="187">
          <cell r="B187" t="str">
            <v>AX5 PM MT</v>
          </cell>
          <cell r="C187">
            <v>0</v>
          </cell>
          <cell r="D187">
            <v>0</v>
          </cell>
          <cell r="E187">
            <v>0</v>
          </cell>
          <cell r="F187">
            <v>8475</v>
          </cell>
          <cell r="G187">
            <v>10000</v>
          </cell>
          <cell r="H187">
            <v>10000</v>
          </cell>
          <cell r="I187">
            <v>20000</v>
          </cell>
        </row>
        <row r="188">
          <cell r="B188" t="str">
            <v>AX5L TGDI AT</v>
          </cell>
          <cell r="C188">
            <v>8475</v>
          </cell>
          <cell r="D188">
            <v>10001</v>
          </cell>
          <cell r="E188">
            <v>10001</v>
          </cell>
          <cell r="F188">
            <v>25424</v>
          </cell>
          <cell r="G188">
            <v>30000</v>
          </cell>
          <cell r="H188">
            <v>10000</v>
          </cell>
          <cell r="I188">
            <v>40000</v>
          </cell>
        </row>
        <row r="189">
          <cell r="B189" t="str">
            <v>AX5L TGDI MT</v>
          </cell>
          <cell r="C189">
            <v>8475</v>
          </cell>
          <cell r="D189">
            <v>10001</v>
          </cell>
          <cell r="E189">
            <v>10001</v>
          </cell>
          <cell r="F189">
            <v>25424</v>
          </cell>
          <cell r="G189">
            <v>30000</v>
          </cell>
          <cell r="H189">
            <v>10000</v>
          </cell>
          <cell r="I189">
            <v>40000</v>
          </cell>
        </row>
        <row r="190">
          <cell r="B190" t="str">
            <v>AX7 DS AS DT</v>
          </cell>
          <cell r="C190">
            <v>25424</v>
          </cell>
          <cell r="D190">
            <v>30000</v>
          </cell>
          <cell r="E190">
            <v>14410</v>
          </cell>
          <cell r="F190">
            <v>42373</v>
          </cell>
          <cell r="G190">
            <v>50000</v>
          </cell>
          <cell r="H190">
            <v>15000</v>
          </cell>
          <cell r="I190">
            <v>65000</v>
          </cell>
        </row>
        <row r="191">
          <cell r="B191" t="str">
            <v>AX7 DS MT DT</v>
          </cell>
          <cell r="C191">
            <v>25424</v>
          </cell>
          <cell r="D191">
            <v>30000</v>
          </cell>
          <cell r="E191">
            <v>14410</v>
          </cell>
          <cell r="F191">
            <v>42373</v>
          </cell>
          <cell r="G191">
            <v>50000</v>
          </cell>
          <cell r="H191">
            <v>15000</v>
          </cell>
          <cell r="I191">
            <v>65000</v>
          </cell>
        </row>
        <row r="192">
          <cell r="B192" t="str">
            <v>AX7 TGDI AT DT</v>
          </cell>
          <cell r="C192">
            <v>25424</v>
          </cell>
          <cell r="D192">
            <v>30000</v>
          </cell>
          <cell r="E192">
            <v>14410</v>
          </cell>
          <cell r="F192">
            <v>46610</v>
          </cell>
          <cell r="G192">
            <v>55000</v>
          </cell>
          <cell r="H192">
            <v>15000</v>
          </cell>
          <cell r="I192">
            <v>70000</v>
          </cell>
        </row>
        <row r="193">
          <cell r="B193" t="str">
            <v>AX7 TGDI MT DT</v>
          </cell>
          <cell r="C193">
            <v>25424</v>
          </cell>
          <cell r="D193">
            <v>30000</v>
          </cell>
          <cell r="E193">
            <v>14410</v>
          </cell>
          <cell r="F193">
            <v>46610</v>
          </cell>
          <cell r="G193">
            <v>55000</v>
          </cell>
          <cell r="H193">
            <v>15000</v>
          </cell>
          <cell r="I193">
            <v>70000</v>
          </cell>
        </row>
        <row r="194">
          <cell r="B194" t="str">
            <v>AX7L DS MT DT</v>
          </cell>
          <cell r="C194">
            <v>25424</v>
          </cell>
          <cell r="D194">
            <v>30000</v>
          </cell>
          <cell r="E194">
            <v>14410</v>
          </cell>
          <cell r="F194">
            <v>46610</v>
          </cell>
          <cell r="G194">
            <v>55000</v>
          </cell>
          <cell r="H194">
            <v>15000</v>
          </cell>
          <cell r="I194">
            <v>70000</v>
          </cell>
        </row>
        <row r="195">
          <cell r="B195" t="str">
            <v>AX7L TGDI AT DT</v>
          </cell>
          <cell r="C195">
            <v>33898</v>
          </cell>
          <cell r="D195">
            <v>40000</v>
          </cell>
          <cell r="E195">
            <v>24410</v>
          </cell>
          <cell r="F195">
            <v>55085</v>
          </cell>
          <cell r="G195">
            <v>65000</v>
          </cell>
          <cell r="H195">
            <v>15000</v>
          </cell>
          <cell r="I195">
            <v>80000</v>
          </cell>
        </row>
        <row r="196">
          <cell r="B196" t="str">
            <v>AX7L TGDI MT DT</v>
          </cell>
          <cell r="C196">
            <v>33898</v>
          </cell>
          <cell r="D196">
            <v>40000</v>
          </cell>
          <cell r="E196">
            <v>24410</v>
          </cell>
          <cell r="F196">
            <v>55085</v>
          </cell>
          <cell r="G196">
            <v>65000</v>
          </cell>
          <cell r="H196">
            <v>15000</v>
          </cell>
          <cell r="I196">
            <v>80000</v>
          </cell>
        </row>
        <row r="197">
          <cell r="B197" t="str">
            <v>MX2 DS MT</v>
          </cell>
          <cell r="C197">
            <v>16949</v>
          </cell>
          <cell r="D197">
            <v>20000</v>
          </cell>
          <cell r="E197">
            <v>20000</v>
          </cell>
          <cell r="F197">
            <v>38136</v>
          </cell>
          <cell r="G197">
            <v>45000</v>
          </cell>
          <cell r="H197">
            <v>15000</v>
          </cell>
          <cell r="I197">
            <v>60000</v>
          </cell>
        </row>
        <row r="198">
          <cell r="B198" t="str">
            <v>MX2 PRO DS MT</v>
          </cell>
          <cell r="C198">
            <v>16949</v>
          </cell>
          <cell r="D198">
            <v>20000</v>
          </cell>
          <cell r="E198">
            <v>20000</v>
          </cell>
          <cell r="F198">
            <v>38136</v>
          </cell>
          <cell r="G198">
            <v>45000</v>
          </cell>
          <cell r="H198">
            <v>15000</v>
          </cell>
          <cell r="I198">
            <v>60000</v>
          </cell>
        </row>
        <row r="199">
          <cell r="B199" t="str">
            <v>MX2 PRO PM AT</v>
          </cell>
          <cell r="C199">
            <v>25424</v>
          </cell>
          <cell r="D199">
            <v>30000</v>
          </cell>
          <cell r="E199">
            <v>30000</v>
          </cell>
          <cell r="F199">
            <v>38136</v>
          </cell>
          <cell r="G199">
            <v>45000</v>
          </cell>
          <cell r="H199">
            <v>15000</v>
          </cell>
          <cell r="I199">
            <v>60000</v>
          </cell>
        </row>
        <row r="200">
          <cell r="B200" t="str">
            <v>MX2 PRO PM MT</v>
          </cell>
          <cell r="C200">
            <v>25424</v>
          </cell>
          <cell r="D200">
            <v>30000</v>
          </cell>
          <cell r="E200">
            <v>30000</v>
          </cell>
          <cell r="F200">
            <v>38136</v>
          </cell>
          <cell r="G200">
            <v>45000</v>
          </cell>
          <cell r="H200">
            <v>15000</v>
          </cell>
          <cell r="I200">
            <v>60000</v>
          </cell>
        </row>
        <row r="201">
          <cell r="B201" t="str">
            <v>MX3 DS AS</v>
          </cell>
          <cell r="C201">
            <v>16949</v>
          </cell>
          <cell r="D201">
            <v>20000</v>
          </cell>
          <cell r="E201">
            <v>20000</v>
          </cell>
          <cell r="F201">
            <v>38136</v>
          </cell>
          <cell r="G201">
            <v>45000</v>
          </cell>
          <cell r="H201">
            <v>15000</v>
          </cell>
          <cell r="I201">
            <v>60000</v>
          </cell>
        </row>
        <row r="202">
          <cell r="B202" t="str">
            <v>MX3 DS MT</v>
          </cell>
          <cell r="C202">
            <v>16949</v>
          </cell>
          <cell r="D202">
            <v>20000</v>
          </cell>
          <cell r="E202">
            <v>20000</v>
          </cell>
          <cell r="F202">
            <v>38136</v>
          </cell>
          <cell r="G202">
            <v>45000</v>
          </cell>
          <cell r="H202">
            <v>15000</v>
          </cell>
          <cell r="I202">
            <v>60000</v>
          </cell>
        </row>
        <row r="203">
          <cell r="B203" t="str">
            <v>MX3 PM AT</v>
          </cell>
          <cell r="C203">
            <v>25424</v>
          </cell>
          <cell r="D203">
            <v>30000</v>
          </cell>
          <cell r="E203">
            <v>30000</v>
          </cell>
          <cell r="F203">
            <v>50847</v>
          </cell>
          <cell r="G203">
            <v>60000</v>
          </cell>
          <cell r="H203">
            <v>15000</v>
          </cell>
          <cell r="I203">
            <v>75000</v>
          </cell>
        </row>
        <row r="204">
          <cell r="B204" t="str">
            <v>MX3 PM MT</v>
          </cell>
          <cell r="C204">
            <v>25424</v>
          </cell>
          <cell r="D204">
            <v>30000</v>
          </cell>
          <cell r="E204">
            <v>30000</v>
          </cell>
          <cell r="F204">
            <v>50847</v>
          </cell>
          <cell r="G204">
            <v>60000</v>
          </cell>
          <cell r="H204">
            <v>15000</v>
          </cell>
          <cell r="I204">
            <v>75000</v>
          </cell>
        </row>
        <row r="205">
          <cell r="B205" t="str">
            <v>MX3 PRO DS MT</v>
          </cell>
          <cell r="C205">
            <v>16949</v>
          </cell>
          <cell r="D205">
            <v>20000</v>
          </cell>
          <cell r="E205">
            <v>20000</v>
          </cell>
          <cell r="F205">
            <v>38136</v>
          </cell>
          <cell r="G205">
            <v>45000</v>
          </cell>
          <cell r="H205">
            <v>15000</v>
          </cell>
          <cell r="I205">
            <v>60000</v>
          </cell>
        </row>
        <row r="206">
          <cell r="B206" t="str">
            <v>MX3 PRO PM AT</v>
          </cell>
          <cell r="C206">
            <v>25424</v>
          </cell>
          <cell r="D206">
            <v>30000</v>
          </cell>
          <cell r="E206">
            <v>30000</v>
          </cell>
          <cell r="F206">
            <v>42373</v>
          </cell>
          <cell r="G206">
            <v>50000</v>
          </cell>
          <cell r="H206">
            <v>15000</v>
          </cell>
          <cell r="I206">
            <v>65000</v>
          </cell>
        </row>
        <row r="207">
          <cell r="B207" t="str">
            <v>MX3 PRO PM MT</v>
          </cell>
          <cell r="C207">
            <v>25424</v>
          </cell>
          <cell r="D207">
            <v>30000</v>
          </cell>
          <cell r="E207">
            <v>30000</v>
          </cell>
          <cell r="F207">
            <v>42373</v>
          </cell>
          <cell r="G207">
            <v>50000</v>
          </cell>
          <cell r="H207">
            <v>15000</v>
          </cell>
          <cell r="I207">
            <v>65000</v>
          </cell>
        </row>
        <row r="208">
          <cell r="B208" t="str">
            <v>REVX A PG AT</v>
          </cell>
          <cell r="C208">
            <v>0</v>
          </cell>
          <cell r="D208">
            <v>0</v>
          </cell>
          <cell r="E208">
            <v>0</v>
          </cell>
          <cell r="F208">
            <v>4237</v>
          </cell>
          <cell r="G208">
            <v>5000</v>
          </cell>
          <cell r="H208">
            <v>5000</v>
          </cell>
          <cell r="I208">
            <v>10000</v>
          </cell>
        </row>
        <row r="209">
          <cell r="B209" t="str">
            <v>REVX A PG MT</v>
          </cell>
          <cell r="C209">
            <v>0</v>
          </cell>
          <cell r="D209">
            <v>0</v>
          </cell>
          <cell r="E209">
            <v>0</v>
          </cell>
          <cell r="F209">
            <v>4237</v>
          </cell>
          <cell r="G209">
            <v>5000</v>
          </cell>
          <cell r="H209">
            <v>5000</v>
          </cell>
          <cell r="I209">
            <v>10000</v>
          </cell>
        </row>
        <row r="210">
          <cell r="B210" t="str">
            <v>REVX M PM MT</v>
          </cell>
          <cell r="C210">
            <v>0</v>
          </cell>
          <cell r="D210">
            <v>0</v>
          </cell>
          <cell r="E210">
            <v>0</v>
          </cell>
          <cell r="F210">
            <v>4237</v>
          </cell>
          <cell r="G210">
            <v>5000</v>
          </cell>
          <cell r="H210">
            <v>5000</v>
          </cell>
          <cell r="I210">
            <v>10000</v>
          </cell>
        </row>
        <row r="211">
          <cell r="B211" t="str">
            <v>REVX M(O) PM MT</v>
          </cell>
          <cell r="C211">
            <v>0</v>
          </cell>
          <cell r="D211">
            <v>0</v>
          </cell>
          <cell r="E211">
            <v>0</v>
          </cell>
          <cell r="F211">
            <v>4237</v>
          </cell>
          <cell r="G211">
            <v>5000</v>
          </cell>
          <cell r="H211">
            <v>5000</v>
          </cell>
          <cell r="I211">
            <v>10000</v>
          </cell>
        </row>
        <row r="212">
          <cell r="B212" t="str">
            <v>EC PRO - Battery 34.5 Kwh - Charger 3.2 Kw - E</v>
          </cell>
          <cell r="C212">
            <v>47619</v>
          </cell>
          <cell r="D212">
            <v>50000</v>
          </cell>
          <cell r="E212">
            <v>50000</v>
          </cell>
          <cell r="F212">
            <v>95238</v>
          </cell>
          <cell r="G212">
            <v>100000</v>
          </cell>
          <cell r="H212">
            <v>25000</v>
          </cell>
          <cell r="I212">
            <v>125000</v>
          </cell>
        </row>
        <row r="213">
          <cell r="B213" t="str">
            <v>EC PRO - Battery 34.5 Kwh-E-NCH</v>
          </cell>
          <cell r="C213">
            <v>238095</v>
          </cell>
          <cell r="D213">
            <v>250000</v>
          </cell>
          <cell r="E213">
            <v>250000</v>
          </cell>
          <cell r="F213">
            <v>357143</v>
          </cell>
          <cell r="G213">
            <v>375000</v>
          </cell>
          <cell r="H213">
            <v>25000</v>
          </cell>
          <cell r="I213">
            <v>400000</v>
          </cell>
        </row>
        <row r="214">
          <cell r="B214" t="str">
            <v>EL PRO - Battery 39.4 Kwh-E-NCH</v>
          </cell>
          <cell r="C214">
            <v>238095</v>
          </cell>
          <cell r="D214">
            <v>250000</v>
          </cell>
          <cell r="E214">
            <v>250000</v>
          </cell>
          <cell r="F214">
            <v>357143</v>
          </cell>
          <cell r="G214">
            <v>375000</v>
          </cell>
          <cell r="H214">
            <v>25000</v>
          </cell>
          <cell r="I214">
            <v>400000</v>
          </cell>
        </row>
        <row r="215">
          <cell r="B215" t="str">
            <v>EL PRO FC - Battery 34.5 Kwh - Charger 7.2 Kw - E</v>
          </cell>
          <cell r="C215">
            <v>238095</v>
          </cell>
          <cell r="D215">
            <v>250000</v>
          </cell>
          <cell r="E215">
            <v>250000</v>
          </cell>
          <cell r="F215">
            <v>357143</v>
          </cell>
          <cell r="G215">
            <v>375000</v>
          </cell>
          <cell r="H215">
            <v>25000</v>
          </cell>
          <cell r="I215">
            <v>400000</v>
          </cell>
        </row>
        <row r="216">
          <cell r="B216" t="str">
            <v>EL PRO FC - Battery 39.4 Kwh - Charger 7.2 Kw - E</v>
          </cell>
          <cell r="C216">
            <v>238095</v>
          </cell>
          <cell r="D216">
            <v>250000</v>
          </cell>
          <cell r="E216">
            <v>250000</v>
          </cell>
          <cell r="F216">
            <v>357143</v>
          </cell>
          <cell r="G216">
            <v>375000</v>
          </cell>
          <cell r="H216">
            <v>25000</v>
          </cell>
          <cell r="I216">
            <v>400000</v>
          </cell>
        </row>
        <row r="217">
          <cell r="B217" t="str">
            <v>EL PRO FC - DT - Battery 34.5 Kwh - Charger 7.2 Kw - E</v>
          </cell>
          <cell r="C217">
            <v>238095</v>
          </cell>
          <cell r="D217">
            <v>250000</v>
          </cell>
          <cell r="E217">
            <v>250000</v>
          </cell>
          <cell r="F217">
            <v>357143</v>
          </cell>
          <cell r="G217">
            <v>375000</v>
          </cell>
          <cell r="H217">
            <v>25000</v>
          </cell>
          <cell r="I217">
            <v>400000</v>
          </cell>
        </row>
        <row r="218">
          <cell r="B218" t="str">
            <v>EL PRO FC DT - Battery 39.4 Kwh - Charger 7.2 Kw - E</v>
          </cell>
          <cell r="C218">
            <v>238095</v>
          </cell>
          <cell r="D218">
            <v>250000</v>
          </cell>
          <cell r="E218">
            <v>250000</v>
          </cell>
          <cell r="F218">
            <v>357143</v>
          </cell>
          <cell r="G218">
            <v>375000</v>
          </cell>
          <cell r="H218">
            <v>25000</v>
          </cell>
          <cell r="I218">
            <v>400000</v>
          </cell>
        </row>
        <row r="219">
          <cell r="B219" t="str">
            <v>AX3 DSL AT 5 STR BS6.2 - New</v>
          </cell>
          <cell r="C219">
            <v>0</v>
          </cell>
          <cell r="D219">
            <v>0</v>
          </cell>
          <cell r="E219">
            <v>0</v>
          </cell>
          <cell r="F219">
            <v>71429</v>
          </cell>
          <cell r="G219">
            <v>100000</v>
          </cell>
          <cell r="H219">
            <v>50000</v>
          </cell>
          <cell r="I219">
            <v>150000</v>
          </cell>
        </row>
        <row r="220">
          <cell r="B220" t="str">
            <v>AX3 DSL MT 5 STR - E BS6.2 - New</v>
          </cell>
          <cell r="C220">
            <v>0</v>
          </cell>
          <cell r="D220">
            <v>0</v>
          </cell>
          <cell r="E220">
            <v>0</v>
          </cell>
          <cell r="F220">
            <v>71429</v>
          </cell>
          <cell r="G220">
            <v>100000</v>
          </cell>
          <cell r="H220">
            <v>50000</v>
          </cell>
          <cell r="I220">
            <v>150000</v>
          </cell>
        </row>
        <row r="221">
          <cell r="B221" t="str">
            <v>AX3 DSL MT 5 STR BS6.2 - New</v>
          </cell>
          <cell r="C221">
            <v>0</v>
          </cell>
          <cell r="D221">
            <v>0</v>
          </cell>
          <cell r="E221">
            <v>0</v>
          </cell>
          <cell r="F221">
            <v>71429</v>
          </cell>
          <cell r="G221">
            <v>100000</v>
          </cell>
          <cell r="H221">
            <v>50000</v>
          </cell>
          <cell r="I221">
            <v>150000</v>
          </cell>
        </row>
        <row r="222">
          <cell r="B222" t="str">
            <v>AX3 DSL MT 7 STR BS6.2 - New</v>
          </cell>
          <cell r="C222">
            <v>0</v>
          </cell>
          <cell r="D222">
            <v>0</v>
          </cell>
          <cell r="E222">
            <v>0</v>
          </cell>
          <cell r="F222">
            <v>71429</v>
          </cell>
          <cell r="G222">
            <v>100000</v>
          </cell>
          <cell r="H222">
            <v>50000</v>
          </cell>
          <cell r="I222">
            <v>150000</v>
          </cell>
        </row>
        <row r="223">
          <cell r="B223" t="str">
            <v>AX3 PET AT 5 STR BS6.2</v>
          </cell>
          <cell r="C223">
            <v>0</v>
          </cell>
          <cell r="D223">
            <v>0</v>
          </cell>
          <cell r="E223">
            <v>0</v>
          </cell>
          <cell r="F223">
            <v>71429</v>
          </cell>
          <cell r="G223">
            <v>100000</v>
          </cell>
          <cell r="H223">
            <v>50000</v>
          </cell>
          <cell r="I223">
            <v>150000</v>
          </cell>
        </row>
        <row r="224">
          <cell r="B224" t="str">
            <v>AX3 PET AT 5 STR BS6.2 - New</v>
          </cell>
          <cell r="C224">
            <v>0</v>
          </cell>
          <cell r="D224">
            <v>0</v>
          </cell>
          <cell r="E224">
            <v>0</v>
          </cell>
          <cell r="F224">
            <v>71429</v>
          </cell>
          <cell r="G224">
            <v>100000</v>
          </cell>
          <cell r="H224">
            <v>50000</v>
          </cell>
          <cell r="I224">
            <v>150000</v>
          </cell>
        </row>
        <row r="225">
          <cell r="B225" t="str">
            <v>AX3 PET MT 5 STR - E BS6.2 - New</v>
          </cell>
          <cell r="C225">
            <v>0</v>
          </cell>
          <cell r="D225">
            <v>0</v>
          </cell>
          <cell r="E225">
            <v>0</v>
          </cell>
          <cell r="F225">
            <v>71429</v>
          </cell>
          <cell r="G225">
            <v>100000</v>
          </cell>
          <cell r="H225">
            <v>50000</v>
          </cell>
          <cell r="I225">
            <v>150000</v>
          </cell>
        </row>
        <row r="226">
          <cell r="B226" t="str">
            <v>AX3 PET MT 5 STR BS6.2 - New</v>
          </cell>
          <cell r="C226">
            <v>0</v>
          </cell>
          <cell r="D226">
            <v>0</v>
          </cell>
          <cell r="E226">
            <v>0</v>
          </cell>
          <cell r="F226">
            <v>71429</v>
          </cell>
          <cell r="G226">
            <v>100000</v>
          </cell>
          <cell r="H226">
            <v>50000</v>
          </cell>
          <cell r="I226">
            <v>150000</v>
          </cell>
        </row>
        <row r="227">
          <cell r="B227" t="str">
            <v>AX5 DSL AT 5 STR BS6.2 - New</v>
          </cell>
          <cell r="C227">
            <v>0</v>
          </cell>
          <cell r="D227">
            <v>0</v>
          </cell>
          <cell r="E227">
            <v>0</v>
          </cell>
          <cell r="F227">
            <v>107143</v>
          </cell>
          <cell r="G227">
            <v>150000</v>
          </cell>
          <cell r="H227">
            <v>50000</v>
          </cell>
          <cell r="I227">
            <v>200000</v>
          </cell>
        </row>
        <row r="228">
          <cell r="B228" t="str">
            <v>AX5 DSL AT 7 STR BS6.2 - New</v>
          </cell>
          <cell r="C228">
            <v>0</v>
          </cell>
          <cell r="D228">
            <v>0</v>
          </cell>
          <cell r="E228">
            <v>0</v>
          </cell>
          <cell r="F228">
            <v>107143</v>
          </cell>
          <cell r="G228">
            <v>150000</v>
          </cell>
          <cell r="H228">
            <v>50000</v>
          </cell>
          <cell r="I228">
            <v>200000</v>
          </cell>
        </row>
        <row r="229">
          <cell r="B229" t="str">
            <v>AX5 DSL MT 5 STR BS6.2 - New</v>
          </cell>
          <cell r="C229">
            <v>0</v>
          </cell>
          <cell r="D229">
            <v>0</v>
          </cell>
          <cell r="E229">
            <v>0</v>
          </cell>
          <cell r="F229">
            <v>107143</v>
          </cell>
          <cell r="G229">
            <v>150000</v>
          </cell>
          <cell r="H229">
            <v>50000</v>
          </cell>
          <cell r="I229">
            <v>200000</v>
          </cell>
        </row>
        <row r="230">
          <cell r="B230" t="str">
            <v>AX5 DSL MT 7 STR BS6.2 - New</v>
          </cell>
          <cell r="C230">
            <v>0</v>
          </cell>
          <cell r="D230">
            <v>0</v>
          </cell>
          <cell r="E230">
            <v>0</v>
          </cell>
          <cell r="F230">
            <v>107143</v>
          </cell>
          <cell r="G230">
            <v>150000</v>
          </cell>
          <cell r="H230">
            <v>50000</v>
          </cell>
          <cell r="I230">
            <v>200000</v>
          </cell>
        </row>
        <row r="231">
          <cell r="B231" t="str">
            <v>AX5 PET AT 5 STR BS6.2</v>
          </cell>
          <cell r="C231">
            <v>0</v>
          </cell>
          <cell r="D231">
            <v>0</v>
          </cell>
          <cell r="E231">
            <v>0</v>
          </cell>
          <cell r="F231">
            <v>107143</v>
          </cell>
          <cell r="G231">
            <v>150000</v>
          </cell>
          <cell r="H231">
            <v>50000</v>
          </cell>
          <cell r="I231">
            <v>200000</v>
          </cell>
        </row>
        <row r="232">
          <cell r="B232" t="str">
            <v>AX5 PET AT 5 STR BS6.2 - New</v>
          </cell>
          <cell r="C232">
            <v>0</v>
          </cell>
          <cell r="D232">
            <v>0</v>
          </cell>
          <cell r="E232">
            <v>0</v>
          </cell>
          <cell r="F232">
            <v>107143</v>
          </cell>
          <cell r="G232">
            <v>150000</v>
          </cell>
          <cell r="H232">
            <v>50000</v>
          </cell>
          <cell r="I232">
            <v>200000</v>
          </cell>
        </row>
        <row r="233">
          <cell r="B233" t="str">
            <v>AX5 PET AT 7 STR BS6.2 - New</v>
          </cell>
          <cell r="C233">
            <v>0</v>
          </cell>
          <cell r="D233">
            <v>0</v>
          </cell>
          <cell r="E233">
            <v>0</v>
          </cell>
          <cell r="F233">
            <v>107143</v>
          </cell>
          <cell r="G233">
            <v>150000</v>
          </cell>
          <cell r="H233">
            <v>50000</v>
          </cell>
          <cell r="I233">
            <v>200000</v>
          </cell>
        </row>
        <row r="234">
          <cell r="B234" t="str">
            <v>AX5 PET MT 5 STR - E BS6.2 - New</v>
          </cell>
          <cell r="C234">
            <v>0</v>
          </cell>
          <cell r="D234">
            <v>0</v>
          </cell>
          <cell r="E234">
            <v>0</v>
          </cell>
          <cell r="F234">
            <v>107143</v>
          </cell>
          <cell r="G234">
            <v>150000</v>
          </cell>
          <cell r="H234">
            <v>50000</v>
          </cell>
          <cell r="I234">
            <v>200000</v>
          </cell>
        </row>
        <row r="235">
          <cell r="B235" t="str">
            <v>AX5 PET MT 5 STR BS6.2 - New</v>
          </cell>
          <cell r="C235">
            <v>0</v>
          </cell>
          <cell r="D235">
            <v>0</v>
          </cell>
          <cell r="E235">
            <v>0</v>
          </cell>
          <cell r="F235">
            <v>107143</v>
          </cell>
          <cell r="G235">
            <v>150000</v>
          </cell>
          <cell r="H235">
            <v>50000</v>
          </cell>
          <cell r="I235">
            <v>200000</v>
          </cell>
        </row>
        <row r="236">
          <cell r="B236" t="str">
            <v>AX5 PET MT 7 STR - E BS6.2 - New</v>
          </cell>
          <cell r="C236">
            <v>0</v>
          </cell>
          <cell r="D236">
            <v>0</v>
          </cell>
          <cell r="E236">
            <v>0</v>
          </cell>
          <cell r="F236">
            <v>107143</v>
          </cell>
          <cell r="G236">
            <v>150000</v>
          </cell>
          <cell r="H236">
            <v>50000</v>
          </cell>
          <cell r="I236">
            <v>200000</v>
          </cell>
        </row>
        <row r="237">
          <cell r="B237" t="str">
            <v>AX5 PET MT 7 STR BS6.2 - New</v>
          </cell>
          <cell r="C237">
            <v>0</v>
          </cell>
          <cell r="D237">
            <v>0</v>
          </cell>
          <cell r="E237">
            <v>0</v>
          </cell>
          <cell r="F237">
            <v>107143</v>
          </cell>
          <cell r="G237">
            <v>150000</v>
          </cell>
          <cell r="H237">
            <v>50000</v>
          </cell>
          <cell r="I237">
            <v>200000</v>
          </cell>
        </row>
        <row r="238">
          <cell r="B238" t="str">
            <v>AX5 S DSL AT 7 STR BS6.2 - New</v>
          </cell>
          <cell r="C238">
            <v>0</v>
          </cell>
          <cell r="D238">
            <v>0</v>
          </cell>
          <cell r="E238">
            <v>0</v>
          </cell>
          <cell r="F238">
            <v>107143</v>
          </cell>
          <cell r="G238">
            <v>150000</v>
          </cell>
          <cell r="H238">
            <v>50000</v>
          </cell>
          <cell r="I238">
            <v>200000</v>
          </cell>
        </row>
        <row r="239">
          <cell r="B239" t="str">
            <v>AX5 S DSL MT 7 STR - E BS6.2 - New</v>
          </cell>
          <cell r="C239">
            <v>0</v>
          </cell>
          <cell r="D239">
            <v>0</v>
          </cell>
          <cell r="E239">
            <v>0</v>
          </cell>
          <cell r="F239">
            <v>107143</v>
          </cell>
          <cell r="G239">
            <v>150000</v>
          </cell>
          <cell r="H239">
            <v>50000</v>
          </cell>
          <cell r="I239">
            <v>200000</v>
          </cell>
        </row>
        <row r="240">
          <cell r="B240" t="str">
            <v>AX5 S DSL MT 7 STR BS6.2 - New</v>
          </cell>
          <cell r="C240">
            <v>0</v>
          </cell>
          <cell r="D240">
            <v>0</v>
          </cell>
          <cell r="E240">
            <v>0</v>
          </cell>
          <cell r="F240">
            <v>107143</v>
          </cell>
          <cell r="G240">
            <v>150000</v>
          </cell>
          <cell r="H240">
            <v>50000</v>
          </cell>
          <cell r="I240">
            <v>200000</v>
          </cell>
        </row>
        <row r="241">
          <cell r="B241" t="str">
            <v>AX5 S PET AT 7 STR BS6.2 - New</v>
          </cell>
          <cell r="C241">
            <v>0</v>
          </cell>
          <cell r="D241">
            <v>0</v>
          </cell>
          <cell r="E241">
            <v>0</v>
          </cell>
          <cell r="F241">
            <v>107143</v>
          </cell>
          <cell r="G241">
            <v>150000</v>
          </cell>
          <cell r="H241">
            <v>50000</v>
          </cell>
          <cell r="I241">
            <v>200000</v>
          </cell>
        </row>
        <row r="242">
          <cell r="B242" t="str">
            <v>AX5 S PET MT 7 STR - E BS6.2 - New</v>
          </cell>
          <cell r="C242">
            <v>0</v>
          </cell>
          <cell r="D242">
            <v>0</v>
          </cell>
          <cell r="E242">
            <v>0</v>
          </cell>
          <cell r="F242">
            <v>107143</v>
          </cell>
          <cell r="G242">
            <v>150000</v>
          </cell>
          <cell r="H242">
            <v>50000</v>
          </cell>
          <cell r="I242">
            <v>200000</v>
          </cell>
        </row>
        <row r="243">
          <cell r="B243" t="str">
            <v>AX5 S PET MT 7 STR BS6.2 - New</v>
          </cell>
          <cell r="C243">
            <v>0</v>
          </cell>
          <cell r="D243">
            <v>0</v>
          </cell>
          <cell r="E243">
            <v>0</v>
          </cell>
          <cell r="F243">
            <v>107143</v>
          </cell>
          <cell r="G243">
            <v>150000</v>
          </cell>
          <cell r="H243">
            <v>50000</v>
          </cell>
          <cell r="I243">
            <v>200000</v>
          </cell>
        </row>
        <row r="244">
          <cell r="B244" t="str">
            <v>AX7 DSL AT 6 STR BS6.2 - EBONY</v>
          </cell>
          <cell r="C244">
            <v>0</v>
          </cell>
          <cell r="D244">
            <v>0</v>
          </cell>
          <cell r="E244">
            <v>0</v>
          </cell>
          <cell r="F244">
            <v>42857</v>
          </cell>
          <cell r="G244">
            <v>60000</v>
          </cell>
          <cell r="H244">
            <v>40000</v>
          </cell>
          <cell r="I244">
            <v>100000</v>
          </cell>
        </row>
        <row r="245">
          <cell r="B245" t="str">
            <v>AX7 DSL AT 6 STR BS6.2 - New</v>
          </cell>
          <cell r="C245">
            <v>0</v>
          </cell>
          <cell r="D245">
            <v>0</v>
          </cell>
          <cell r="E245">
            <v>0</v>
          </cell>
          <cell r="F245">
            <v>42857</v>
          </cell>
          <cell r="G245">
            <v>60000</v>
          </cell>
          <cell r="H245">
            <v>40000</v>
          </cell>
          <cell r="I245">
            <v>100000</v>
          </cell>
        </row>
        <row r="246">
          <cell r="B246" t="str">
            <v>AX7 DSL AT 6 STR BS6.2 Dual Tone - New</v>
          </cell>
          <cell r="C246">
            <v>0</v>
          </cell>
          <cell r="D246">
            <v>0</v>
          </cell>
          <cell r="E246">
            <v>0</v>
          </cell>
          <cell r="F246">
            <v>42857</v>
          </cell>
          <cell r="G246">
            <v>60000</v>
          </cell>
          <cell r="H246">
            <v>40000</v>
          </cell>
          <cell r="I246">
            <v>100000</v>
          </cell>
        </row>
        <row r="247">
          <cell r="B247" t="str">
            <v>AX7 DSL AT 7 STR BS6.2 - EBONY</v>
          </cell>
          <cell r="C247">
            <v>0</v>
          </cell>
          <cell r="D247">
            <v>0</v>
          </cell>
          <cell r="E247">
            <v>0</v>
          </cell>
          <cell r="F247">
            <v>42857</v>
          </cell>
          <cell r="G247">
            <v>60000</v>
          </cell>
          <cell r="H247">
            <v>40000</v>
          </cell>
          <cell r="I247">
            <v>100000</v>
          </cell>
        </row>
        <row r="248">
          <cell r="B248" t="str">
            <v>AX7 DSL AT 7 STR BS6.2 - New</v>
          </cell>
          <cell r="C248">
            <v>0</v>
          </cell>
          <cell r="D248">
            <v>0</v>
          </cell>
          <cell r="E248">
            <v>0</v>
          </cell>
          <cell r="F248">
            <v>42857</v>
          </cell>
          <cell r="G248">
            <v>60000</v>
          </cell>
          <cell r="H248">
            <v>40000</v>
          </cell>
          <cell r="I248">
            <v>100000</v>
          </cell>
        </row>
        <row r="249">
          <cell r="B249" t="str">
            <v>AX7 DSL AT 7 STR BS6.2 Dual Tone - New</v>
          </cell>
          <cell r="C249">
            <v>0</v>
          </cell>
          <cell r="D249">
            <v>0</v>
          </cell>
          <cell r="E249">
            <v>0</v>
          </cell>
          <cell r="F249">
            <v>42857</v>
          </cell>
          <cell r="G249">
            <v>60000</v>
          </cell>
          <cell r="H249">
            <v>40000</v>
          </cell>
          <cell r="I249">
            <v>100000</v>
          </cell>
        </row>
        <row r="250">
          <cell r="B250" t="str">
            <v>AX7 DSL AT AWD 7 STR BS6.2 - EBONY</v>
          </cell>
          <cell r="C250">
            <v>0</v>
          </cell>
          <cell r="D250">
            <v>0</v>
          </cell>
          <cell r="E250">
            <v>0</v>
          </cell>
          <cell r="F250">
            <v>42857</v>
          </cell>
          <cell r="G250">
            <v>60000</v>
          </cell>
          <cell r="H250">
            <v>40000</v>
          </cell>
          <cell r="I250">
            <v>100000</v>
          </cell>
        </row>
        <row r="251">
          <cell r="B251" t="str">
            <v>AX7 DSL AT AWD 7 STR BS6.2 - New</v>
          </cell>
          <cell r="C251">
            <v>0</v>
          </cell>
          <cell r="D251">
            <v>0</v>
          </cell>
          <cell r="E251">
            <v>0</v>
          </cell>
          <cell r="F251">
            <v>42857</v>
          </cell>
          <cell r="G251">
            <v>60000</v>
          </cell>
          <cell r="H251">
            <v>40000</v>
          </cell>
          <cell r="I251">
            <v>100000</v>
          </cell>
        </row>
        <row r="252">
          <cell r="B252" t="str">
            <v>AX7 DSL AT AWD 7 STR BS6.2 Dual Tone - New</v>
          </cell>
          <cell r="C252">
            <v>0</v>
          </cell>
          <cell r="D252">
            <v>0</v>
          </cell>
          <cell r="E252">
            <v>0</v>
          </cell>
          <cell r="F252">
            <v>42857</v>
          </cell>
          <cell r="G252">
            <v>60000</v>
          </cell>
          <cell r="H252">
            <v>40000</v>
          </cell>
          <cell r="I252">
            <v>100000</v>
          </cell>
        </row>
        <row r="253">
          <cell r="B253" t="str">
            <v>AX7 DSL MT 6 STR BS6.2 - EBONY</v>
          </cell>
          <cell r="C253">
            <v>0</v>
          </cell>
          <cell r="D253">
            <v>0</v>
          </cell>
          <cell r="E253">
            <v>0</v>
          </cell>
          <cell r="F253">
            <v>42857</v>
          </cell>
          <cell r="G253">
            <v>60000</v>
          </cell>
          <cell r="H253">
            <v>40000</v>
          </cell>
          <cell r="I253">
            <v>100000</v>
          </cell>
        </row>
        <row r="254">
          <cell r="B254" t="str">
            <v>AX7 DSL MT 6 STR BS6.2 - New</v>
          </cell>
          <cell r="C254">
            <v>0</v>
          </cell>
          <cell r="D254">
            <v>0</v>
          </cell>
          <cell r="E254">
            <v>0</v>
          </cell>
          <cell r="F254">
            <v>42857</v>
          </cell>
          <cell r="G254">
            <v>60000</v>
          </cell>
          <cell r="H254">
            <v>40000</v>
          </cell>
          <cell r="I254">
            <v>100000</v>
          </cell>
        </row>
        <row r="255">
          <cell r="B255" t="str">
            <v>AX7 DSL MT 6 STR BS6.2 Dual Tone - New</v>
          </cell>
          <cell r="C255">
            <v>0</v>
          </cell>
          <cell r="D255">
            <v>0</v>
          </cell>
          <cell r="E255">
            <v>0</v>
          </cell>
          <cell r="F255">
            <v>42857</v>
          </cell>
          <cell r="G255">
            <v>60000</v>
          </cell>
          <cell r="H255">
            <v>40000</v>
          </cell>
          <cell r="I255">
            <v>100000</v>
          </cell>
        </row>
        <row r="256">
          <cell r="B256" t="str">
            <v>AX7 DSL MT 7 STR BS6.2 - EBONY</v>
          </cell>
          <cell r="C256">
            <v>0</v>
          </cell>
          <cell r="D256">
            <v>0</v>
          </cell>
          <cell r="E256">
            <v>0</v>
          </cell>
          <cell r="F256">
            <v>42857</v>
          </cell>
          <cell r="G256">
            <v>60000</v>
          </cell>
          <cell r="H256">
            <v>40000</v>
          </cell>
          <cell r="I256">
            <v>100000</v>
          </cell>
        </row>
        <row r="257">
          <cell r="B257" t="str">
            <v>AX7 DSL MT 7 STR BS6.2 - New</v>
          </cell>
          <cell r="C257">
            <v>0</v>
          </cell>
          <cell r="D257">
            <v>0</v>
          </cell>
          <cell r="E257">
            <v>0</v>
          </cell>
          <cell r="F257">
            <v>42857</v>
          </cell>
          <cell r="G257">
            <v>60000</v>
          </cell>
          <cell r="H257">
            <v>40000</v>
          </cell>
          <cell r="I257">
            <v>100000</v>
          </cell>
        </row>
        <row r="258">
          <cell r="B258" t="str">
            <v>AX7 DSL MT 7 STR BS6.2 Dual Tone - New</v>
          </cell>
          <cell r="C258">
            <v>0</v>
          </cell>
          <cell r="D258">
            <v>0</v>
          </cell>
          <cell r="E258">
            <v>0</v>
          </cell>
          <cell r="F258">
            <v>42857</v>
          </cell>
          <cell r="G258">
            <v>60000</v>
          </cell>
          <cell r="H258">
            <v>40000</v>
          </cell>
          <cell r="I258">
            <v>100000</v>
          </cell>
        </row>
        <row r="259">
          <cell r="B259" t="str">
            <v>AX7 L DSL AT 6 STR BS6.2 - EBONY</v>
          </cell>
          <cell r="C259">
            <v>0</v>
          </cell>
          <cell r="D259">
            <v>0</v>
          </cell>
          <cell r="E259">
            <v>0</v>
          </cell>
          <cell r="F259">
            <v>42857</v>
          </cell>
          <cell r="G259">
            <v>60000</v>
          </cell>
          <cell r="H259">
            <v>40000</v>
          </cell>
          <cell r="I259">
            <v>100000</v>
          </cell>
        </row>
        <row r="260">
          <cell r="B260" t="str">
            <v>AX7 L DSL AT 6 STR BS6.2 - New</v>
          </cell>
          <cell r="C260">
            <v>0</v>
          </cell>
          <cell r="D260">
            <v>0</v>
          </cell>
          <cell r="E260">
            <v>0</v>
          </cell>
          <cell r="F260">
            <v>42857</v>
          </cell>
          <cell r="G260">
            <v>60000</v>
          </cell>
          <cell r="H260">
            <v>40000</v>
          </cell>
          <cell r="I260">
            <v>100000</v>
          </cell>
        </row>
        <row r="261">
          <cell r="B261" t="str">
            <v>AX7 L DSL AT 6 STR BS6.2 Dual Tone - New</v>
          </cell>
          <cell r="C261">
            <v>0</v>
          </cell>
          <cell r="D261">
            <v>0</v>
          </cell>
          <cell r="E261">
            <v>0</v>
          </cell>
          <cell r="F261">
            <v>42857</v>
          </cell>
          <cell r="G261">
            <v>60000</v>
          </cell>
          <cell r="H261">
            <v>40000</v>
          </cell>
          <cell r="I261">
            <v>100000</v>
          </cell>
        </row>
        <row r="262">
          <cell r="B262" t="str">
            <v>AX7 L DSL AT 7 STR BS6.2</v>
          </cell>
          <cell r="C262">
            <v>0</v>
          </cell>
          <cell r="D262">
            <v>0</v>
          </cell>
          <cell r="E262">
            <v>0</v>
          </cell>
          <cell r="F262">
            <v>42857</v>
          </cell>
          <cell r="G262">
            <v>60000</v>
          </cell>
          <cell r="H262">
            <v>40000</v>
          </cell>
          <cell r="I262">
            <v>100000</v>
          </cell>
        </row>
        <row r="263">
          <cell r="B263" t="str">
            <v>AX7 L DSL AT 7 STR BS6.2 - EBONY</v>
          </cell>
          <cell r="C263">
            <v>0</v>
          </cell>
          <cell r="D263">
            <v>0</v>
          </cell>
          <cell r="E263">
            <v>0</v>
          </cell>
          <cell r="F263">
            <v>42857</v>
          </cell>
          <cell r="G263">
            <v>60000</v>
          </cell>
          <cell r="H263">
            <v>40000</v>
          </cell>
          <cell r="I263">
            <v>100000</v>
          </cell>
        </row>
        <row r="264">
          <cell r="B264" t="str">
            <v>AX7 L DSL AT 7 STR BS6.2 - New</v>
          </cell>
          <cell r="C264">
            <v>0</v>
          </cell>
          <cell r="D264">
            <v>0</v>
          </cell>
          <cell r="E264">
            <v>0</v>
          </cell>
          <cell r="F264">
            <v>42857</v>
          </cell>
          <cell r="G264">
            <v>60000</v>
          </cell>
          <cell r="H264">
            <v>40000</v>
          </cell>
          <cell r="I264">
            <v>100000</v>
          </cell>
        </row>
        <row r="265">
          <cell r="B265" t="str">
            <v>AX7 L DSL AT 7 STR BS6.2 Dual Tone - New</v>
          </cell>
          <cell r="C265">
            <v>0</v>
          </cell>
          <cell r="D265">
            <v>0</v>
          </cell>
          <cell r="E265">
            <v>0</v>
          </cell>
          <cell r="F265">
            <v>42857</v>
          </cell>
          <cell r="G265">
            <v>60000</v>
          </cell>
          <cell r="H265">
            <v>40000</v>
          </cell>
          <cell r="I265">
            <v>100000</v>
          </cell>
        </row>
        <row r="266">
          <cell r="B266" t="str">
            <v>AX7 L DSL AT AWD 7 STR BS6.2 - EBONY</v>
          </cell>
          <cell r="C266">
            <v>0</v>
          </cell>
          <cell r="D266">
            <v>0</v>
          </cell>
          <cell r="E266">
            <v>0</v>
          </cell>
          <cell r="F266">
            <v>42857</v>
          </cell>
          <cell r="G266">
            <v>60000</v>
          </cell>
          <cell r="H266">
            <v>40000</v>
          </cell>
          <cell r="I266">
            <v>100000</v>
          </cell>
        </row>
        <row r="267">
          <cell r="B267" t="str">
            <v>AX7 L DSL AT AWD 7 STR BS6.2 - New</v>
          </cell>
          <cell r="C267">
            <v>0</v>
          </cell>
          <cell r="D267">
            <v>0</v>
          </cell>
          <cell r="E267">
            <v>0</v>
          </cell>
          <cell r="F267">
            <v>42857</v>
          </cell>
          <cell r="G267">
            <v>60000</v>
          </cell>
          <cell r="H267">
            <v>40000</v>
          </cell>
          <cell r="I267">
            <v>100000</v>
          </cell>
        </row>
        <row r="268">
          <cell r="B268" t="str">
            <v>AX7 L DSL AT AWD 7 STR BS6.2 Dual Tone - New</v>
          </cell>
          <cell r="C268">
            <v>0</v>
          </cell>
          <cell r="D268">
            <v>0</v>
          </cell>
          <cell r="E268">
            <v>0</v>
          </cell>
          <cell r="F268">
            <v>42857</v>
          </cell>
          <cell r="G268">
            <v>60000</v>
          </cell>
          <cell r="H268">
            <v>40000</v>
          </cell>
          <cell r="I268">
            <v>100000</v>
          </cell>
        </row>
        <row r="269">
          <cell r="B269" t="str">
            <v>AX7 L DSL MT 6 STR BS6.2 - EBONY</v>
          </cell>
          <cell r="C269">
            <v>0</v>
          </cell>
          <cell r="D269">
            <v>0</v>
          </cell>
          <cell r="E269">
            <v>0</v>
          </cell>
          <cell r="F269">
            <v>42857</v>
          </cell>
          <cell r="G269">
            <v>60000</v>
          </cell>
          <cell r="H269">
            <v>40000</v>
          </cell>
          <cell r="I269">
            <v>100000</v>
          </cell>
        </row>
        <row r="270">
          <cell r="B270" t="str">
            <v>AX7 L DSL MT 6 STR BS6.2 - New</v>
          </cell>
          <cell r="C270">
            <v>0</v>
          </cell>
          <cell r="D270">
            <v>0</v>
          </cell>
          <cell r="E270">
            <v>0</v>
          </cell>
          <cell r="F270">
            <v>42857</v>
          </cell>
          <cell r="G270">
            <v>60000</v>
          </cell>
          <cell r="H270">
            <v>40000</v>
          </cell>
          <cell r="I270">
            <v>100000</v>
          </cell>
        </row>
        <row r="271">
          <cell r="B271" t="str">
            <v>AX7 L DSL MT 6 STR BS6.2 Dual Tone - New</v>
          </cell>
          <cell r="C271">
            <v>0</v>
          </cell>
          <cell r="D271">
            <v>0</v>
          </cell>
          <cell r="E271">
            <v>0</v>
          </cell>
          <cell r="F271">
            <v>42857</v>
          </cell>
          <cell r="G271">
            <v>60000</v>
          </cell>
          <cell r="H271">
            <v>40000</v>
          </cell>
          <cell r="I271">
            <v>100000</v>
          </cell>
        </row>
        <row r="272">
          <cell r="B272" t="str">
            <v>AX7 L DSL MT 7 STR BS6.2</v>
          </cell>
          <cell r="C272">
            <v>0</v>
          </cell>
          <cell r="D272">
            <v>0</v>
          </cell>
          <cell r="E272">
            <v>0</v>
          </cell>
          <cell r="F272">
            <v>42857</v>
          </cell>
          <cell r="G272">
            <v>60000</v>
          </cell>
          <cell r="H272">
            <v>40000</v>
          </cell>
          <cell r="I272">
            <v>100000</v>
          </cell>
        </row>
        <row r="273">
          <cell r="B273" t="str">
            <v>AX7 L DSL MT 7 STR BS6.2 - Blaze</v>
          </cell>
          <cell r="C273">
            <v>0</v>
          </cell>
          <cell r="D273">
            <v>0</v>
          </cell>
          <cell r="E273">
            <v>0</v>
          </cell>
          <cell r="F273">
            <v>42857</v>
          </cell>
          <cell r="G273">
            <v>60000</v>
          </cell>
          <cell r="H273">
            <v>40000</v>
          </cell>
          <cell r="I273">
            <v>100000</v>
          </cell>
        </row>
        <row r="274">
          <cell r="B274" t="str">
            <v>AX7 L DSL MT 7 STR BS6.2 - EBONY</v>
          </cell>
          <cell r="C274">
            <v>0</v>
          </cell>
          <cell r="D274">
            <v>0</v>
          </cell>
          <cell r="E274">
            <v>0</v>
          </cell>
          <cell r="F274">
            <v>42857</v>
          </cell>
          <cell r="G274">
            <v>60000</v>
          </cell>
          <cell r="H274">
            <v>40000</v>
          </cell>
          <cell r="I274">
            <v>100000</v>
          </cell>
        </row>
        <row r="275">
          <cell r="B275" t="str">
            <v>AX7 L DSL MT 7 STR BS6.2 - New</v>
          </cell>
          <cell r="C275">
            <v>0</v>
          </cell>
          <cell r="D275">
            <v>0</v>
          </cell>
          <cell r="E275">
            <v>0</v>
          </cell>
          <cell r="F275">
            <v>42857</v>
          </cell>
          <cell r="G275">
            <v>60000</v>
          </cell>
          <cell r="H275">
            <v>40000</v>
          </cell>
          <cell r="I275">
            <v>100000</v>
          </cell>
        </row>
        <row r="276">
          <cell r="B276" t="str">
            <v>AX7 L DSL MT 7 STR BS6.2 Dual Tone - New</v>
          </cell>
          <cell r="C276">
            <v>0</v>
          </cell>
          <cell r="D276">
            <v>0</v>
          </cell>
          <cell r="E276">
            <v>0</v>
          </cell>
          <cell r="F276">
            <v>42857</v>
          </cell>
          <cell r="G276">
            <v>60000</v>
          </cell>
          <cell r="H276">
            <v>40000</v>
          </cell>
          <cell r="I276">
            <v>100000</v>
          </cell>
        </row>
        <row r="277">
          <cell r="B277" t="str">
            <v>AX7 L PET AT 6 STR BS6.2 - EBONY</v>
          </cell>
          <cell r="C277">
            <v>0</v>
          </cell>
          <cell r="D277">
            <v>0</v>
          </cell>
          <cell r="E277">
            <v>0</v>
          </cell>
          <cell r="F277">
            <v>42857</v>
          </cell>
          <cell r="G277">
            <v>60000</v>
          </cell>
          <cell r="H277">
            <v>40000</v>
          </cell>
          <cell r="I277">
            <v>100000</v>
          </cell>
        </row>
        <row r="278">
          <cell r="B278" t="str">
            <v>AX7 L PET AT 6 STR BS6.2 - New</v>
          </cell>
          <cell r="C278">
            <v>0</v>
          </cell>
          <cell r="D278">
            <v>0</v>
          </cell>
          <cell r="E278">
            <v>0</v>
          </cell>
          <cell r="F278">
            <v>42857</v>
          </cell>
          <cell r="G278">
            <v>60000</v>
          </cell>
          <cell r="H278">
            <v>40000</v>
          </cell>
          <cell r="I278">
            <v>100000</v>
          </cell>
        </row>
        <row r="279">
          <cell r="B279" t="str">
            <v>AX7 L PET AT 6 STR BS6.2 Dual Tone - New</v>
          </cell>
          <cell r="C279">
            <v>0</v>
          </cell>
          <cell r="D279">
            <v>0</v>
          </cell>
          <cell r="E279">
            <v>0</v>
          </cell>
          <cell r="F279">
            <v>42857</v>
          </cell>
          <cell r="G279">
            <v>60000</v>
          </cell>
          <cell r="H279">
            <v>40000</v>
          </cell>
          <cell r="I279">
            <v>100000</v>
          </cell>
        </row>
        <row r="280">
          <cell r="B280" t="str">
            <v>AX7 L PET AT 7 STR BS6.2</v>
          </cell>
          <cell r="C280">
            <v>0</v>
          </cell>
          <cell r="D280">
            <v>0</v>
          </cell>
          <cell r="E280">
            <v>0</v>
          </cell>
          <cell r="F280">
            <v>42857</v>
          </cell>
          <cell r="G280">
            <v>60000</v>
          </cell>
          <cell r="H280">
            <v>40000</v>
          </cell>
          <cell r="I280">
            <v>100000</v>
          </cell>
        </row>
        <row r="281">
          <cell r="B281" t="str">
            <v>AX7 L PET AT 7 STR BS6.2 - Blaze</v>
          </cell>
          <cell r="C281">
            <v>0</v>
          </cell>
          <cell r="D281">
            <v>0</v>
          </cell>
          <cell r="E281">
            <v>0</v>
          </cell>
          <cell r="F281">
            <v>42857</v>
          </cell>
          <cell r="G281">
            <v>60000</v>
          </cell>
          <cell r="H281">
            <v>40000</v>
          </cell>
          <cell r="I281">
            <v>100000</v>
          </cell>
        </row>
        <row r="282">
          <cell r="B282" t="str">
            <v>AX7 L PET AT 7 STR BS6.2 - EBONY</v>
          </cell>
          <cell r="C282">
            <v>0</v>
          </cell>
          <cell r="D282">
            <v>0</v>
          </cell>
          <cell r="E282">
            <v>0</v>
          </cell>
          <cell r="F282">
            <v>42857</v>
          </cell>
          <cell r="G282">
            <v>60000</v>
          </cell>
          <cell r="H282">
            <v>40000</v>
          </cell>
          <cell r="I282">
            <v>100000</v>
          </cell>
        </row>
        <row r="283">
          <cell r="B283" t="str">
            <v>AX7 L PET AT 7 STR BS6.2 - New</v>
          </cell>
          <cell r="C283">
            <v>0</v>
          </cell>
          <cell r="D283">
            <v>0</v>
          </cell>
          <cell r="E283">
            <v>0</v>
          </cell>
          <cell r="F283">
            <v>42857</v>
          </cell>
          <cell r="G283">
            <v>60000</v>
          </cell>
          <cell r="H283">
            <v>40000</v>
          </cell>
          <cell r="I283">
            <v>100000</v>
          </cell>
        </row>
        <row r="284">
          <cell r="B284" t="str">
            <v>AX7 L PET AT 7 STR BS6.2 Dual Tone - New</v>
          </cell>
          <cell r="C284">
            <v>0</v>
          </cell>
          <cell r="D284">
            <v>0</v>
          </cell>
          <cell r="E284">
            <v>0</v>
          </cell>
          <cell r="F284">
            <v>42857</v>
          </cell>
          <cell r="G284">
            <v>60000</v>
          </cell>
          <cell r="H284">
            <v>40000</v>
          </cell>
          <cell r="I284">
            <v>100000</v>
          </cell>
        </row>
        <row r="285">
          <cell r="B285" t="str">
            <v>AX7 PET AT 6 STR BS6.2 - EBONY</v>
          </cell>
          <cell r="C285">
            <v>0</v>
          </cell>
          <cell r="D285">
            <v>0</v>
          </cell>
          <cell r="E285">
            <v>0</v>
          </cell>
          <cell r="F285">
            <v>42857</v>
          </cell>
          <cell r="G285">
            <v>60000</v>
          </cell>
          <cell r="H285">
            <v>40000</v>
          </cell>
          <cell r="I285">
            <v>100000</v>
          </cell>
        </row>
        <row r="286">
          <cell r="B286" t="str">
            <v>AX7 PET AT 6 STR BS6.2 - New</v>
          </cell>
          <cell r="C286">
            <v>0</v>
          </cell>
          <cell r="D286">
            <v>0</v>
          </cell>
          <cell r="E286">
            <v>0</v>
          </cell>
          <cell r="F286">
            <v>42857</v>
          </cell>
          <cell r="G286">
            <v>60000</v>
          </cell>
          <cell r="H286">
            <v>40000</v>
          </cell>
          <cell r="I286">
            <v>100000</v>
          </cell>
        </row>
        <row r="287">
          <cell r="B287" t="str">
            <v>AX7 PET AT 6 STR BS6.2 Dual Tone - New</v>
          </cell>
          <cell r="C287">
            <v>0</v>
          </cell>
          <cell r="D287">
            <v>0</v>
          </cell>
          <cell r="E287">
            <v>0</v>
          </cell>
          <cell r="F287">
            <v>42857</v>
          </cell>
          <cell r="G287">
            <v>60000</v>
          </cell>
          <cell r="H287">
            <v>40000</v>
          </cell>
          <cell r="I287">
            <v>100000</v>
          </cell>
        </row>
        <row r="288">
          <cell r="B288" t="str">
            <v>AX7 PET AT 7 STR BS6.2 - EBONY</v>
          </cell>
          <cell r="C288">
            <v>0</v>
          </cell>
          <cell r="D288">
            <v>0</v>
          </cell>
          <cell r="E288">
            <v>0</v>
          </cell>
          <cell r="F288">
            <v>42857</v>
          </cell>
          <cell r="G288">
            <v>60000</v>
          </cell>
          <cell r="H288">
            <v>40000</v>
          </cell>
          <cell r="I288">
            <v>100000</v>
          </cell>
        </row>
        <row r="289">
          <cell r="B289" t="str">
            <v>AX7 PET AT 7 STR BS6.2 - New</v>
          </cell>
          <cell r="C289">
            <v>0</v>
          </cell>
          <cell r="D289">
            <v>0</v>
          </cell>
          <cell r="E289">
            <v>0</v>
          </cell>
          <cell r="F289">
            <v>42857</v>
          </cell>
          <cell r="G289">
            <v>60000</v>
          </cell>
          <cell r="H289">
            <v>40000</v>
          </cell>
          <cell r="I289">
            <v>100000</v>
          </cell>
        </row>
        <row r="290">
          <cell r="B290" t="str">
            <v>AX7 PET AT 7 STR BS6.2 Dual Tone - New</v>
          </cell>
          <cell r="C290">
            <v>0</v>
          </cell>
          <cell r="D290">
            <v>0</v>
          </cell>
          <cell r="E290">
            <v>0</v>
          </cell>
          <cell r="F290">
            <v>42857</v>
          </cell>
          <cell r="G290">
            <v>60000</v>
          </cell>
          <cell r="H290">
            <v>40000</v>
          </cell>
          <cell r="I290">
            <v>100000</v>
          </cell>
        </row>
        <row r="291">
          <cell r="B291" t="str">
            <v>AX7 PET MT 6 STR BS6.2 - EBONY</v>
          </cell>
          <cell r="C291">
            <v>0</v>
          </cell>
          <cell r="D291">
            <v>0</v>
          </cell>
          <cell r="E291">
            <v>0</v>
          </cell>
          <cell r="F291">
            <v>42857</v>
          </cell>
          <cell r="G291">
            <v>60000</v>
          </cell>
          <cell r="H291">
            <v>40000</v>
          </cell>
          <cell r="I291">
            <v>100000</v>
          </cell>
        </row>
        <row r="292">
          <cell r="B292" t="str">
            <v>AX7 PET MT 6 STR BS6.2 - New</v>
          </cell>
          <cell r="C292">
            <v>0</v>
          </cell>
          <cell r="D292">
            <v>0</v>
          </cell>
          <cell r="E292">
            <v>0</v>
          </cell>
          <cell r="F292">
            <v>42857</v>
          </cell>
          <cell r="G292">
            <v>60000</v>
          </cell>
          <cell r="H292">
            <v>40000</v>
          </cell>
          <cell r="I292">
            <v>100000</v>
          </cell>
        </row>
        <row r="293">
          <cell r="B293" t="str">
            <v>AX7 PET MT 6 STR BS6.2 Dual Tone - New</v>
          </cell>
          <cell r="C293">
            <v>0</v>
          </cell>
          <cell r="D293">
            <v>0</v>
          </cell>
          <cell r="E293">
            <v>0</v>
          </cell>
          <cell r="F293">
            <v>42857</v>
          </cell>
          <cell r="G293">
            <v>60000</v>
          </cell>
          <cell r="H293">
            <v>40000</v>
          </cell>
          <cell r="I293">
            <v>100000</v>
          </cell>
        </row>
        <row r="294">
          <cell r="B294" t="str">
            <v>AX7 PET MT 7 STR BS6.2 - EBONY</v>
          </cell>
          <cell r="C294">
            <v>0</v>
          </cell>
          <cell r="D294">
            <v>0</v>
          </cell>
          <cell r="E294">
            <v>0</v>
          </cell>
          <cell r="F294">
            <v>42857</v>
          </cell>
          <cell r="G294">
            <v>60000</v>
          </cell>
          <cell r="H294">
            <v>40000</v>
          </cell>
          <cell r="I294">
            <v>100000</v>
          </cell>
        </row>
        <row r="295">
          <cell r="B295" t="str">
            <v>AX7 PET MT 7 STR BS6.2 - New</v>
          </cell>
          <cell r="C295">
            <v>0</v>
          </cell>
          <cell r="D295">
            <v>0</v>
          </cell>
          <cell r="E295">
            <v>0</v>
          </cell>
          <cell r="F295">
            <v>42857</v>
          </cell>
          <cell r="G295">
            <v>60000</v>
          </cell>
          <cell r="H295">
            <v>40000</v>
          </cell>
          <cell r="I295">
            <v>100000</v>
          </cell>
        </row>
        <row r="296">
          <cell r="B296" t="str">
            <v>AX7 PET MT 7 STR BS6.2 Dual Tone - New</v>
          </cell>
          <cell r="C296">
            <v>0</v>
          </cell>
          <cell r="D296">
            <v>0</v>
          </cell>
          <cell r="E296">
            <v>0</v>
          </cell>
          <cell r="F296">
            <v>42857</v>
          </cell>
          <cell r="G296">
            <v>60000</v>
          </cell>
          <cell r="H296">
            <v>40000</v>
          </cell>
          <cell r="I296">
            <v>100000</v>
          </cell>
        </row>
        <row r="297">
          <cell r="B297" t="str">
            <v>MX DSL MT 5 STR - E BS6.2 - New</v>
          </cell>
          <cell r="C297">
            <v>0</v>
          </cell>
          <cell r="D297">
            <v>0</v>
          </cell>
          <cell r="E297">
            <v>0</v>
          </cell>
          <cell r="F297">
            <v>50000</v>
          </cell>
          <cell r="G297">
            <v>70000</v>
          </cell>
          <cell r="H297">
            <v>30000</v>
          </cell>
          <cell r="I297">
            <v>100000</v>
          </cell>
        </row>
        <row r="298">
          <cell r="B298" t="str">
            <v>MX DSL MT 5 STR BS6.2 - New</v>
          </cell>
          <cell r="C298">
            <v>0</v>
          </cell>
          <cell r="D298">
            <v>0</v>
          </cell>
          <cell r="E298">
            <v>0</v>
          </cell>
          <cell r="F298">
            <v>50000</v>
          </cell>
          <cell r="G298">
            <v>70000</v>
          </cell>
          <cell r="H298">
            <v>30000</v>
          </cell>
          <cell r="I298">
            <v>100000</v>
          </cell>
        </row>
        <row r="299">
          <cell r="B299" t="str">
            <v>MX DSL MT 7 STR - E BS6.2 - New</v>
          </cell>
          <cell r="C299">
            <v>0</v>
          </cell>
          <cell r="D299">
            <v>0</v>
          </cell>
          <cell r="E299">
            <v>0</v>
          </cell>
          <cell r="F299">
            <v>50000</v>
          </cell>
          <cell r="G299">
            <v>70000</v>
          </cell>
          <cell r="H299">
            <v>30000</v>
          </cell>
          <cell r="I299">
            <v>100000</v>
          </cell>
        </row>
        <row r="300">
          <cell r="B300" t="str">
            <v>MX DSL MT 7 STR BS6.2 - New</v>
          </cell>
          <cell r="C300">
            <v>0</v>
          </cell>
          <cell r="D300">
            <v>0</v>
          </cell>
          <cell r="E300">
            <v>0</v>
          </cell>
          <cell r="F300">
            <v>50000</v>
          </cell>
          <cell r="G300">
            <v>70000</v>
          </cell>
          <cell r="H300">
            <v>30000</v>
          </cell>
          <cell r="I300">
            <v>100000</v>
          </cell>
        </row>
        <row r="301">
          <cell r="B301" t="str">
            <v>MX PET MT 5 STR - E BS6.2 - New</v>
          </cell>
          <cell r="C301">
            <v>0</v>
          </cell>
          <cell r="D301">
            <v>0</v>
          </cell>
          <cell r="E301">
            <v>0</v>
          </cell>
          <cell r="F301">
            <v>50000</v>
          </cell>
          <cell r="G301">
            <v>70000</v>
          </cell>
          <cell r="H301">
            <v>30000</v>
          </cell>
          <cell r="I301">
            <v>100000</v>
          </cell>
        </row>
        <row r="302">
          <cell r="B302" t="str">
            <v>MX PET MT 5 STR BS6.2 - New</v>
          </cell>
          <cell r="C302">
            <v>0</v>
          </cell>
          <cell r="D302">
            <v>0</v>
          </cell>
          <cell r="E302">
            <v>0</v>
          </cell>
          <cell r="F302">
            <v>50000</v>
          </cell>
          <cell r="G302">
            <v>70000</v>
          </cell>
          <cell r="H302">
            <v>30000</v>
          </cell>
          <cell r="I302">
            <v>100000</v>
          </cell>
        </row>
        <row r="303">
          <cell r="B303" t="str">
            <v>MX PET MT 7 STR - E BS6.2 - New</v>
          </cell>
          <cell r="C303">
            <v>0</v>
          </cell>
          <cell r="D303">
            <v>0</v>
          </cell>
          <cell r="E303">
            <v>0</v>
          </cell>
          <cell r="F303">
            <v>50000</v>
          </cell>
          <cell r="G303">
            <v>70000</v>
          </cell>
          <cell r="H303">
            <v>30000</v>
          </cell>
          <cell r="I303">
            <v>100000</v>
          </cell>
        </row>
        <row r="304">
          <cell r="B304" t="str">
            <v>MX PET MT 7 STR BS6.2 - New</v>
          </cell>
          <cell r="C304">
            <v>0</v>
          </cell>
          <cell r="D304">
            <v>0</v>
          </cell>
          <cell r="E304">
            <v>0</v>
          </cell>
          <cell r="F304">
            <v>50000</v>
          </cell>
          <cell r="G304">
            <v>70000</v>
          </cell>
          <cell r="H304">
            <v>30000</v>
          </cell>
          <cell r="I304">
            <v>100000</v>
          </cell>
        </row>
        <row r="305">
          <cell r="B305" t="str">
            <v>MAXX CITY 1.3 LX BS6.2</v>
          </cell>
          <cell r="C305">
            <v>25424</v>
          </cell>
          <cell r="D305">
            <v>30000</v>
          </cell>
          <cell r="E305">
            <v>26000</v>
          </cell>
          <cell r="F305">
            <v>32203</v>
          </cell>
          <cell r="G305">
            <v>38000</v>
          </cell>
          <cell r="H305">
            <v>10000</v>
          </cell>
          <cell r="I305">
            <v>48000</v>
          </cell>
        </row>
        <row r="306">
          <cell r="B306" t="str">
            <v>MAXX CITY 1.3 LX BS6.2 - Special Edition</v>
          </cell>
          <cell r="C306">
            <v>25424</v>
          </cell>
          <cell r="D306">
            <v>30000</v>
          </cell>
          <cell r="E306">
            <v>30000</v>
          </cell>
          <cell r="F306">
            <v>32203</v>
          </cell>
          <cell r="G306">
            <v>38000</v>
          </cell>
          <cell r="H306">
            <v>10000</v>
          </cell>
          <cell r="I306">
            <v>48000</v>
          </cell>
        </row>
        <row r="307">
          <cell r="B307" t="str">
            <v>MAXX CITY 1.3 LX CBC BS6.2</v>
          </cell>
          <cell r="C307">
            <v>25424</v>
          </cell>
          <cell r="D307">
            <v>30000</v>
          </cell>
          <cell r="E307">
            <v>26000</v>
          </cell>
          <cell r="F307">
            <v>32203</v>
          </cell>
          <cell r="G307">
            <v>38000</v>
          </cell>
          <cell r="H307">
            <v>10000</v>
          </cell>
          <cell r="I307">
            <v>48000</v>
          </cell>
        </row>
        <row r="308">
          <cell r="B308" t="str">
            <v>MAXX CITY 1.3 LX CBC BS6.2 - Reefer VAN Negative Temp</v>
          </cell>
          <cell r="C308">
            <v>25424</v>
          </cell>
          <cell r="D308">
            <v>30000</v>
          </cell>
          <cell r="E308">
            <v>30000</v>
          </cell>
          <cell r="F308">
            <v>32203</v>
          </cell>
          <cell r="G308">
            <v>38000</v>
          </cell>
          <cell r="H308">
            <v>10000</v>
          </cell>
          <cell r="I308">
            <v>48000</v>
          </cell>
        </row>
        <row r="309">
          <cell r="B309" t="str">
            <v>MAXX CITY 1.3 MXi BS6.2</v>
          </cell>
          <cell r="C309">
            <v>25424</v>
          </cell>
          <cell r="D309">
            <v>30000</v>
          </cell>
          <cell r="E309">
            <v>26000</v>
          </cell>
          <cell r="F309">
            <v>32203</v>
          </cell>
          <cell r="G309">
            <v>38000</v>
          </cell>
          <cell r="H309">
            <v>10000</v>
          </cell>
          <cell r="I309">
            <v>48000</v>
          </cell>
        </row>
        <row r="310">
          <cell r="B310" t="str">
            <v>MAXX CITY 1.3 SXi AC - BS6.2</v>
          </cell>
          <cell r="C310">
            <v>25424</v>
          </cell>
          <cell r="D310">
            <v>30000</v>
          </cell>
          <cell r="E310">
            <v>26000</v>
          </cell>
          <cell r="F310">
            <v>32203</v>
          </cell>
          <cell r="G310">
            <v>38000</v>
          </cell>
          <cell r="H310">
            <v>10000</v>
          </cell>
          <cell r="I310">
            <v>48000</v>
          </cell>
        </row>
        <row r="311">
          <cell r="B311" t="str">
            <v>MAXX CITY 1.3 VXi AC - BS6.2</v>
          </cell>
          <cell r="C311">
            <v>25424</v>
          </cell>
          <cell r="D311">
            <v>30000</v>
          </cell>
          <cell r="E311">
            <v>26000</v>
          </cell>
          <cell r="F311">
            <v>32203</v>
          </cell>
          <cell r="G311">
            <v>38000</v>
          </cell>
          <cell r="H311">
            <v>10000</v>
          </cell>
          <cell r="I311">
            <v>48000</v>
          </cell>
        </row>
        <row r="312">
          <cell r="B312" t="str">
            <v>MAXX CITY 1.3 VXi AC - BS6.2 - Special Edition</v>
          </cell>
          <cell r="C312">
            <v>25424</v>
          </cell>
          <cell r="D312">
            <v>30000</v>
          </cell>
          <cell r="E312">
            <v>30000</v>
          </cell>
          <cell r="F312">
            <v>32203</v>
          </cell>
          <cell r="G312">
            <v>38000</v>
          </cell>
          <cell r="H312">
            <v>10000</v>
          </cell>
          <cell r="I312">
            <v>48000</v>
          </cell>
        </row>
        <row r="313">
          <cell r="B313" t="str">
            <v>MAXX CITY 1.3 VXi BS6.2</v>
          </cell>
          <cell r="C313">
            <v>25424</v>
          </cell>
          <cell r="D313">
            <v>30000</v>
          </cell>
          <cell r="E313">
            <v>26000</v>
          </cell>
          <cell r="F313">
            <v>32203</v>
          </cell>
          <cell r="G313">
            <v>38000</v>
          </cell>
          <cell r="H313">
            <v>10000</v>
          </cell>
          <cell r="I313">
            <v>48000</v>
          </cell>
        </row>
        <row r="314">
          <cell r="B314" t="str">
            <v>MAXX CITY 1.4 LX BS6.2</v>
          </cell>
          <cell r="C314">
            <v>21186</v>
          </cell>
          <cell r="D314">
            <v>25000</v>
          </cell>
          <cell r="E314">
            <v>21000</v>
          </cell>
          <cell r="F314">
            <v>21186</v>
          </cell>
          <cell r="G314">
            <v>25000</v>
          </cell>
          <cell r="H314">
            <v>10000</v>
          </cell>
          <cell r="I314">
            <v>35000</v>
          </cell>
        </row>
        <row r="315">
          <cell r="B315" t="str">
            <v>MAXX CITY 1.4 LX CBC BS6.2</v>
          </cell>
          <cell r="C315">
            <v>21186</v>
          </cell>
          <cell r="D315">
            <v>25000</v>
          </cell>
          <cell r="E315">
            <v>21000</v>
          </cell>
          <cell r="F315">
            <v>21186</v>
          </cell>
          <cell r="G315">
            <v>25000</v>
          </cell>
          <cell r="H315">
            <v>10000</v>
          </cell>
          <cell r="I315">
            <v>35000</v>
          </cell>
        </row>
        <row r="316">
          <cell r="B316" t="str">
            <v>MAXX CITY 1.4 MXi BS6.2</v>
          </cell>
          <cell r="C316">
            <v>21186</v>
          </cell>
          <cell r="D316">
            <v>25000</v>
          </cell>
          <cell r="E316">
            <v>21000</v>
          </cell>
          <cell r="F316">
            <v>21186</v>
          </cell>
          <cell r="G316">
            <v>25000</v>
          </cell>
          <cell r="H316">
            <v>10000</v>
          </cell>
          <cell r="I316">
            <v>35000</v>
          </cell>
        </row>
        <row r="317">
          <cell r="B317" t="str">
            <v>MAXX CITY 1.4 VXi AC - BS6.2</v>
          </cell>
          <cell r="C317">
            <v>21186</v>
          </cell>
          <cell r="D317">
            <v>25000</v>
          </cell>
          <cell r="E317">
            <v>21000</v>
          </cell>
          <cell r="F317">
            <v>21186</v>
          </cell>
          <cell r="G317">
            <v>25000</v>
          </cell>
          <cell r="H317">
            <v>10000</v>
          </cell>
          <cell r="I317">
            <v>35000</v>
          </cell>
        </row>
        <row r="318">
          <cell r="B318" t="str">
            <v>MAXX CITY 1.4 VXi BS6.2</v>
          </cell>
          <cell r="C318">
            <v>21186</v>
          </cell>
          <cell r="D318">
            <v>25000</v>
          </cell>
          <cell r="E318">
            <v>21000</v>
          </cell>
          <cell r="F318">
            <v>21186</v>
          </cell>
          <cell r="G318">
            <v>25000</v>
          </cell>
          <cell r="H318">
            <v>10000</v>
          </cell>
          <cell r="I318">
            <v>35000</v>
          </cell>
        </row>
        <row r="319">
          <cell r="B319" t="str">
            <v>MAXX CITY 1.5 LX BS6.2</v>
          </cell>
          <cell r="C319">
            <v>27119</v>
          </cell>
          <cell r="D319">
            <v>32000</v>
          </cell>
          <cell r="E319">
            <v>28000</v>
          </cell>
          <cell r="F319">
            <v>27119</v>
          </cell>
          <cell r="G319">
            <v>32000</v>
          </cell>
          <cell r="H319">
            <v>10000</v>
          </cell>
          <cell r="I319">
            <v>42000</v>
          </cell>
        </row>
        <row r="320">
          <cell r="B320" t="str">
            <v>MAXX CITY 1.5 LX CBC BS6.2</v>
          </cell>
          <cell r="C320">
            <v>27119</v>
          </cell>
          <cell r="D320">
            <v>32000</v>
          </cell>
          <cell r="E320">
            <v>28000</v>
          </cell>
          <cell r="F320">
            <v>27119</v>
          </cell>
          <cell r="G320">
            <v>32000</v>
          </cell>
          <cell r="H320">
            <v>10000</v>
          </cell>
          <cell r="I320">
            <v>42000</v>
          </cell>
        </row>
        <row r="321">
          <cell r="B321" t="str">
            <v>MAXX CITY 1.5 MXi BS6.2</v>
          </cell>
          <cell r="C321">
            <v>21186</v>
          </cell>
          <cell r="D321">
            <v>25000</v>
          </cell>
          <cell r="E321">
            <v>21000</v>
          </cell>
          <cell r="F321">
            <v>21186</v>
          </cell>
          <cell r="G321">
            <v>25000</v>
          </cell>
          <cell r="H321">
            <v>10000</v>
          </cell>
          <cell r="I321">
            <v>35000</v>
          </cell>
        </row>
        <row r="322">
          <cell r="B322" t="str">
            <v>MAXX CITY 1.5 VXi AC - BS6.2</v>
          </cell>
          <cell r="C322">
            <v>27119</v>
          </cell>
          <cell r="D322">
            <v>32000</v>
          </cell>
          <cell r="E322">
            <v>28000</v>
          </cell>
          <cell r="F322">
            <v>27119</v>
          </cell>
          <cell r="G322">
            <v>32000</v>
          </cell>
          <cell r="H322">
            <v>10000</v>
          </cell>
          <cell r="I322">
            <v>42000</v>
          </cell>
        </row>
        <row r="323">
          <cell r="B323" t="str">
            <v>MAXX CITY 1.5 VXi BS6.2</v>
          </cell>
          <cell r="C323">
            <v>21186</v>
          </cell>
          <cell r="D323">
            <v>25000</v>
          </cell>
          <cell r="E323">
            <v>25000</v>
          </cell>
          <cell r="F323">
            <v>21186</v>
          </cell>
          <cell r="G323">
            <v>25000</v>
          </cell>
          <cell r="H323">
            <v>10000</v>
          </cell>
          <cell r="I323">
            <v>35000</v>
          </cell>
        </row>
        <row r="324">
          <cell r="B324" t="str">
            <v>MAXX CITY 1.5 VXi BS6.2 - Gold</v>
          </cell>
          <cell r="C324">
            <v>21186</v>
          </cell>
          <cell r="D324">
            <v>25000</v>
          </cell>
          <cell r="E324">
            <v>21000</v>
          </cell>
          <cell r="F324">
            <v>21186</v>
          </cell>
          <cell r="G324">
            <v>25000</v>
          </cell>
          <cell r="H324">
            <v>10000</v>
          </cell>
          <cell r="I324">
            <v>35000</v>
          </cell>
        </row>
        <row r="325">
          <cell r="B325" t="str">
            <v>MAXX CITY LX CBC CNG BS6.2</v>
          </cell>
          <cell r="C325">
            <v>55085</v>
          </cell>
          <cell r="D325">
            <v>65000</v>
          </cell>
          <cell r="E325">
            <v>65000</v>
          </cell>
          <cell r="F325">
            <v>55085</v>
          </cell>
          <cell r="G325">
            <v>65000</v>
          </cell>
          <cell r="H325">
            <v>10000</v>
          </cell>
          <cell r="I325">
            <v>75000</v>
          </cell>
        </row>
        <row r="326">
          <cell r="B326" t="str">
            <v>MAXX CITY LX CNG BS6.2</v>
          </cell>
          <cell r="C326">
            <v>55085</v>
          </cell>
          <cell r="D326">
            <v>65000</v>
          </cell>
          <cell r="E326">
            <v>61000</v>
          </cell>
          <cell r="F326">
            <v>55085</v>
          </cell>
          <cell r="G326">
            <v>65000</v>
          </cell>
          <cell r="H326">
            <v>10000</v>
          </cell>
          <cell r="I326">
            <v>75000</v>
          </cell>
        </row>
        <row r="327">
          <cell r="B327" t="str">
            <v>MAXX CITY LX CNG BS6.2 - Tipper / Hopper</v>
          </cell>
          <cell r="C327">
            <v>55085</v>
          </cell>
          <cell r="D327">
            <v>65000</v>
          </cell>
          <cell r="E327">
            <v>65000</v>
          </cell>
          <cell r="F327">
            <v>55085</v>
          </cell>
          <cell r="G327">
            <v>65000</v>
          </cell>
          <cell r="H327">
            <v>10000</v>
          </cell>
          <cell r="I327">
            <v>75000</v>
          </cell>
        </row>
        <row r="328">
          <cell r="B328" t="str">
            <v>MAXX HD 1.3 LX BS6.2</v>
          </cell>
          <cell r="C328">
            <v>8475</v>
          </cell>
          <cell r="D328">
            <v>10000</v>
          </cell>
          <cell r="E328">
            <v>10000</v>
          </cell>
          <cell r="F328">
            <v>19492</v>
          </cell>
          <cell r="G328">
            <v>23000</v>
          </cell>
          <cell r="H328">
            <v>5000</v>
          </cell>
          <cell r="I328">
            <v>28000</v>
          </cell>
        </row>
        <row r="329">
          <cell r="B329" t="str">
            <v>MAXX HD 1.3 VXi AC - BS6.2</v>
          </cell>
          <cell r="C329">
            <v>8475</v>
          </cell>
          <cell r="D329">
            <v>10000</v>
          </cell>
          <cell r="E329">
            <v>10000</v>
          </cell>
          <cell r="F329">
            <v>23729</v>
          </cell>
          <cell r="G329">
            <v>28000</v>
          </cell>
          <cell r="H329">
            <v>5000</v>
          </cell>
          <cell r="I329">
            <v>33000</v>
          </cell>
        </row>
        <row r="330">
          <cell r="B330" t="str">
            <v>MAXX HD 1.7 LX BS6.2</v>
          </cell>
          <cell r="C330">
            <v>16949</v>
          </cell>
          <cell r="D330">
            <v>20000</v>
          </cell>
          <cell r="E330">
            <v>20000</v>
          </cell>
          <cell r="F330">
            <v>22034</v>
          </cell>
          <cell r="G330">
            <v>26000</v>
          </cell>
          <cell r="H330">
            <v>5000</v>
          </cell>
          <cell r="I330">
            <v>31000</v>
          </cell>
        </row>
        <row r="331">
          <cell r="B331" t="str">
            <v>MAXX HD 1.7 LX BS6.2 - Special Edition</v>
          </cell>
          <cell r="C331">
            <v>16949</v>
          </cell>
          <cell r="D331">
            <v>20000</v>
          </cell>
          <cell r="E331">
            <v>20000</v>
          </cell>
          <cell r="F331">
            <v>22034</v>
          </cell>
          <cell r="G331">
            <v>26000</v>
          </cell>
          <cell r="H331">
            <v>5000</v>
          </cell>
          <cell r="I331">
            <v>31000</v>
          </cell>
        </row>
        <row r="332">
          <cell r="B332" t="str">
            <v>MAXX HD 1.7 LX CBC BS6.2</v>
          </cell>
          <cell r="C332">
            <v>16949</v>
          </cell>
          <cell r="D332">
            <v>20000</v>
          </cell>
          <cell r="E332">
            <v>20000</v>
          </cell>
          <cell r="F332">
            <v>22034</v>
          </cell>
          <cell r="G332">
            <v>26000</v>
          </cell>
          <cell r="H332">
            <v>5000</v>
          </cell>
          <cell r="I332">
            <v>31000</v>
          </cell>
        </row>
        <row r="333">
          <cell r="B333" t="str">
            <v>MAXX HD 1.7 LX CBC BS6.2 - Reefer VAN Negative Temp</v>
          </cell>
          <cell r="C333">
            <v>16949</v>
          </cell>
          <cell r="D333">
            <v>20000</v>
          </cell>
          <cell r="E333">
            <v>16000</v>
          </cell>
          <cell r="F333">
            <v>22034</v>
          </cell>
          <cell r="G333">
            <v>26000</v>
          </cell>
          <cell r="H333">
            <v>5000</v>
          </cell>
          <cell r="I333">
            <v>31000</v>
          </cell>
        </row>
        <row r="334">
          <cell r="B334" t="str">
            <v>MAXX HD 1.7 LX CBC BS6.2 - Tipper / Hopper</v>
          </cell>
          <cell r="C334">
            <v>16949</v>
          </cell>
          <cell r="D334">
            <v>20000</v>
          </cell>
          <cell r="E334">
            <v>16000</v>
          </cell>
          <cell r="F334">
            <v>22034</v>
          </cell>
          <cell r="G334">
            <v>26000</v>
          </cell>
          <cell r="H334">
            <v>5000</v>
          </cell>
          <cell r="I334">
            <v>31000</v>
          </cell>
        </row>
        <row r="335">
          <cell r="B335" t="str">
            <v>MAXX HD 1.7 MXi BS6.2</v>
          </cell>
          <cell r="C335">
            <v>8475</v>
          </cell>
          <cell r="D335">
            <v>10000</v>
          </cell>
          <cell r="E335">
            <v>10000</v>
          </cell>
          <cell r="F335">
            <v>29661</v>
          </cell>
          <cell r="G335">
            <v>35000</v>
          </cell>
          <cell r="H335">
            <v>5000</v>
          </cell>
          <cell r="I335">
            <v>40000</v>
          </cell>
        </row>
        <row r="336">
          <cell r="B336" t="str">
            <v>MAXX HD 1.7 VXi AC - BS6.2</v>
          </cell>
          <cell r="C336">
            <v>16949</v>
          </cell>
          <cell r="D336">
            <v>20000</v>
          </cell>
          <cell r="E336">
            <v>20000</v>
          </cell>
          <cell r="F336">
            <v>24576</v>
          </cell>
          <cell r="G336">
            <v>29000</v>
          </cell>
          <cell r="H336">
            <v>5000</v>
          </cell>
          <cell r="I336">
            <v>34000</v>
          </cell>
        </row>
        <row r="337">
          <cell r="B337" t="str">
            <v>MAXX HD 1.7 VXi AC - BS6.2 - Special Edition</v>
          </cell>
          <cell r="C337">
            <v>16949</v>
          </cell>
          <cell r="D337">
            <v>20000</v>
          </cell>
          <cell r="E337">
            <v>20000</v>
          </cell>
          <cell r="F337">
            <v>24576</v>
          </cell>
          <cell r="G337">
            <v>29000</v>
          </cell>
          <cell r="H337">
            <v>5000</v>
          </cell>
          <cell r="I337">
            <v>34000</v>
          </cell>
        </row>
        <row r="338">
          <cell r="B338" t="str">
            <v>MAXX HD 1.7 VXi BS6.2</v>
          </cell>
          <cell r="C338">
            <v>8475</v>
          </cell>
          <cell r="D338">
            <v>10000</v>
          </cell>
          <cell r="E338">
            <v>10000</v>
          </cell>
          <cell r="F338">
            <v>29661</v>
          </cell>
          <cell r="G338">
            <v>35000</v>
          </cell>
          <cell r="H338">
            <v>5000</v>
          </cell>
          <cell r="I338">
            <v>40000</v>
          </cell>
        </row>
        <row r="339">
          <cell r="B339" t="str">
            <v>MAXX HD 1.7L LX BS6.2</v>
          </cell>
          <cell r="C339">
            <v>21186</v>
          </cell>
          <cell r="D339">
            <v>25000</v>
          </cell>
          <cell r="E339">
            <v>25000</v>
          </cell>
          <cell r="F339">
            <v>24576</v>
          </cell>
          <cell r="G339">
            <v>29000</v>
          </cell>
          <cell r="H339">
            <v>5000</v>
          </cell>
          <cell r="I339">
            <v>34000</v>
          </cell>
        </row>
        <row r="340">
          <cell r="B340" t="str">
            <v>MAXX HD 1.7L MXi BS6.2</v>
          </cell>
          <cell r="C340">
            <v>16949</v>
          </cell>
          <cell r="D340">
            <v>20000</v>
          </cell>
          <cell r="E340">
            <v>20000</v>
          </cell>
          <cell r="F340">
            <v>27119</v>
          </cell>
          <cell r="G340">
            <v>32000</v>
          </cell>
          <cell r="H340">
            <v>5000</v>
          </cell>
          <cell r="I340">
            <v>37000</v>
          </cell>
        </row>
        <row r="341">
          <cell r="B341" t="str">
            <v>MAXX HD 1.7L SXi AC - BS6.2</v>
          </cell>
          <cell r="C341">
            <v>16949</v>
          </cell>
          <cell r="D341">
            <v>20000</v>
          </cell>
          <cell r="E341">
            <v>20000</v>
          </cell>
          <cell r="F341">
            <v>21186</v>
          </cell>
          <cell r="G341">
            <v>25000</v>
          </cell>
          <cell r="H341">
            <v>5000</v>
          </cell>
          <cell r="I341">
            <v>30000</v>
          </cell>
        </row>
        <row r="342">
          <cell r="B342" t="str">
            <v>MAXX HD 1.7L VXi BS6.2</v>
          </cell>
          <cell r="C342">
            <v>16949</v>
          </cell>
          <cell r="D342">
            <v>20000</v>
          </cell>
          <cell r="E342">
            <v>20000</v>
          </cell>
          <cell r="F342">
            <v>27119</v>
          </cell>
          <cell r="G342">
            <v>32000</v>
          </cell>
          <cell r="H342">
            <v>5000</v>
          </cell>
          <cell r="I342">
            <v>37000</v>
          </cell>
        </row>
        <row r="343">
          <cell r="B343" t="str">
            <v>MAXX HD 1.9 Vxi CNG BS6.2</v>
          </cell>
          <cell r="C343">
            <v>55085</v>
          </cell>
          <cell r="D343">
            <v>65000</v>
          </cell>
          <cell r="E343">
            <v>65000</v>
          </cell>
          <cell r="F343">
            <v>55085</v>
          </cell>
          <cell r="G343">
            <v>65000</v>
          </cell>
          <cell r="H343">
            <v>5000</v>
          </cell>
          <cell r="I343">
            <v>70000</v>
          </cell>
        </row>
        <row r="344">
          <cell r="B344" t="str">
            <v>MAXX HD 2.0L LX BS6.2</v>
          </cell>
          <cell r="C344">
            <v>12712</v>
          </cell>
          <cell r="D344">
            <v>15000</v>
          </cell>
          <cell r="E344">
            <v>15000</v>
          </cell>
          <cell r="F344">
            <v>20763</v>
          </cell>
          <cell r="G344">
            <v>24500</v>
          </cell>
          <cell r="H344">
            <v>5000</v>
          </cell>
          <cell r="I344">
            <v>29500</v>
          </cell>
        </row>
        <row r="345">
          <cell r="B345" t="str">
            <v>MAXX HD 2.0L LX CBC BS6.2</v>
          </cell>
          <cell r="C345">
            <v>12712</v>
          </cell>
          <cell r="D345">
            <v>15000</v>
          </cell>
          <cell r="E345">
            <v>15000</v>
          </cell>
          <cell r="F345">
            <v>20763</v>
          </cell>
          <cell r="G345">
            <v>24500</v>
          </cell>
          <cell r="H345">
            <v>5000</v>
          </cell>
          <cell r="I345">
            <v>29500</v>
          </cell>
        </row>
        <row r="346">
          <cell r="B346" t="str">
            <v>MAXX HD 2.0L LX CBC BS6.2 - Reefer VAN Negative Temp</v>
          </cell>
          <cell r="C346">
            <v>12712</v>
          </cell>
          <cell r="D346">
            <v>15000</v>
          </cell>
          <cell r="E346">
            <v>15000</v>
          </cell>
          <cell r="F346">
            <v>20763</v>
          </cell>
          <cell r="G346">
            <v>24500</v>
          </cell>
          <cell r="H346">
            <v>5000</v>
          </cell>
          <cell r="I346">
            <v>29500</v>
          </cell>
        </row>
        <row r="347">
          <cell r="B347" t="str">
            <v>MAXX HD 2.0L MXi BS6.2</v>
          </cell>
          <cell r="C347">
            <v>8475</v>
          </cell>
          <cell r="D347">
            <v>10000</v>
          </cell>
          <cell r="E347">
            <v>10000</v>
          </cell>
          <cell r="F347">
            <v>19492</v>
          </cell>
          <cell r="G347">
            <v>23000</v>
          </cell>
          <cell r="H347">
            <v>5000</v>
          </cell>
          <cell r="I347">
            <v>28000</v>
          </cell>
        </row>
        <row r="348">
          <cell r="B348" t="str">
            <v>MAXX HD 2.0L SXi AC - BS6.2</v>
          </cell>
          <cell r="C348">
            <v>12712</v>
          </cell>
          <cell r="D348">
            <v>15000</v>
          </cell>
          <cell r="E348">
            <v>15000</v>
          </cell>
          <cell r="F348">
            <v>20763</v>
          </cell>
          <cell r="G348">
            <v>24500</v>
          </cell>
          <cell r="H348">
            <v>5000</v>
          </cell>
          <cell r="I348">
            <v>29500</v>
          </cell>
        </row>
        <row r="349">
          <cell r="B349" t="str">
            <v>MAXX HD 2.0L SXi CBC AC - BS6.2</v>
          </cell>
          <cell r="C349">
            <v>12712</v>
          </cell>
          <cell r="D349">
            <v>15000</v>
          </cell>
          <cell r="E349">
            <v>15000</v>
          </cell>
          <cell r="F349">
            <v>20763</v>
          </cell>
          <cell r="G349">
            <v>24500</v>
          </cell>
          <cell r="H349">
            <v>5000</v>
          </cell>
          <cell r="I349">
            <v>29500</v>
          </cell>
        </row>
        <row r="350">
          <cell r="B350" t="str">
            <v>MAXX HD 2.0L VXi AC - BS6.2</v>
          </cell>
          <cell r="C350">
            <v>12712</v>
          </cell>
          <cell r="D350">
            <v>15000</v>
          </cell>
          <cell r="E350">
            <v>15000</v>
          </cell>
          <cell r="F350">
            <v>19492</v>
          </cell>
          <cell r="G350">
            <v>23000</v>
          </cell>
          <cell r="H350">
            <v>5000</v>
          </cell>
          <cell r="I350">
            <v>28000</v>
          </cell>
        </row>
        <row r="351">
          <cell r="B351" t="str">
            <v>MAXX HD 2.0L VXi AC - BS6.2 - Special Edition</v>
          </cell>
          <cell r="C351">
            <v>12712</v>
          </cell>
          <cell r="D351">
            <v>15000</v>
          </cell>
          <cell r="E351">
            <v>15000</v>
          </cell>
          <cell r="F351">
            <v>19492</v>
          </cell>
          <cell r="G351">
            <v>23000</v>
          </cell>
          <cell r="H351">
            <v>5000</v>
          </cell>
          <cell r="I351">
            <v>28000</v>
          </cell>
        </row>
        <row r="352">
          <cell r="B352" t="str">
            <v>MAXX HD 2.0L VXi BS6.2</v>
          </cell>
          <cell r="C352">
            <v>8475</v>
          </cell>
          <cell r="D352">
            <v>10000</v>
          </cell>
          <cell r="E352">
            <v>10000</v>
          </cell>
          <cell r="F352">
            <v>19492</v>
          </cell>
          <cell r="G352">
            <v>23000</v>
          </cell>
          <cell r="H352">
            <v>5000</v>
          </cell>
          <cell r="I352">
            <v>28000</v>
          </cell>
        </row>
        <row r="353">
          <cell r="B353" t="str">
            <v>MAXX HD LX CNG BS6.2</v>
          </cell>
          <cell r="C353">
            <v>55085</v>
          </cell>
          <cell r="D353">
            <v>65000</v>
          </cell>
          <cell r="E353">
            <v>65000</v>
          </cell>
          <cell r="F353">
            <v>55085</v>
          </cell>
          <cell r="G353">
            <v>65000</v>
          </cell>
          <cell r="H353">
            <v>5000</v>
          </cell>
          <cell r="I353">
            <v>70000</v>
          </cell>
        </row>
        <row r="354">
          <cell r="B354" t="str">
            <v>BIG BOL PIK UP FB 1.7T - BS6 - PS</v>
          </cell>
          <cell r="C354">
            <v>12927</v>
          </cell>
          <cell r="D354">
            <v>15254</v>
          </cell>
          <cell r="E354">
            <v>15254</v>
          </cell>
          <cell r="F354">
            <v>12927</v>
          </cell>
          <cell r="G354">
            <v>15254</v>
          </cell>
          <cell r="H354">
            <v>0</v>
          </cell>
          <cell r="I354">
            <v>15254</v>
          </cell>
        </row>
        <row r="355">
          <cell r="B355" t="str">
            <v>CAMPER 2WD POWER STEERING BS6.2 - CV</v>
          </cell>
          <cell r="C355">
            <v>4237</v>
          </cell>
          <cell r="D355">
            <v>5000</v>
          </cell>
          <cell r="E355">
            <v>5000</v>
          </cell>
          <cell r="F355">
            <v>16949</v>
          </cell>
          <cell r="G355">
            <v>20000</v>
          </cell>
          <cell r="H355">
            <v>5000</v>
          </cell>
          <cell r="I355">
            <v>25000</v>
          </cell>
        </row>
        <row r="356">
          <cell r="B356" t="str">
            <v>CAMPER 2WD POWER STEERING BS6.2 - NEW</v>
          </cell>
          <cell r="C356">
            <v>4237</v>
          </cell>
          <cell r="D356">
            <v>5000</v>
          </cell>
          <cell r="E356">
            <v>5000</v>
          </cell>
          <cell r="F356">
            <v>16949</v>
          </cell>
          <cell r="G356">
            <v>20000</v>
          </cell>
          <cell r="H356">
            <v>5000</v>
          </cell>
          <cell r="I356">
            <v>25000</v>
          </cell>
        </row>
        <row r="357">
          <cell r="B357" t="str">
            <v>CAMPER 4WD POWER STEERING BS6.2 - NEW</v>
          </cell>
          <cell r="C357">
            <v>4237</v>
          </cell>
          <cell r="D357">
            <v>5000</v>
          </cell>
          <cell r="E357">
            <v>5000</v>
          </cell>
          <cell r="F357">
            <v>16949</v>
          </cell>
          <cell r="G357">
            <v>20000</v>
          </cell>
          <cell r="H357">
            <v>5000</v>
          </cell>
          <cell r="I357">
            <v>25000</v>
          </cell>
        </row>
        <row r="358">
          <cell r="B358" t="str">
            <v>CAMPER CBC 2WD POWER STEERING BS6.2 - CV</v>
          </cell>
          <cell r="C358">
            <v>4237</v>
          </cell>
          <cell r="D358">
            <v>5000</v>
          </cell>
          <cell r="E358">
            <v>5000</v>
          </cell>
          <cell r="F358">
            <v>16949</v>
          </cell>
          <cell r="G358">
            <v>20000</v>
          </cell>
          <cell r="H358">
            <v>5000</v>
          </cell>
          <cell r="I358">
            <v>25000</v>
          </cell>
        </row>
        <row r="359">
          <cell r="B359" t="str">
            <v>CAMPER GOLD VX 2WD POWER STEERING BS6.2 - CV</v>
          </cell>
          <cell r="C359">
            <v>4237</v>
          </cell>
          <cell r="D359">
            <v>5000</v>
          </cell>
          <cell r="E359">
            <v>5000</v>
          </cell>
          <cell r="F359">
            <v>12712</v>
          </cell>
          <cell r="G359">
            <v>15000</v>
          </cell>
          <cell r="H359">
            <v>5000</v>
          </cell>
          <cell r="I359">
            <v>20000</v>
          </cell>
        </row>
        <row r="360">
          <cell r="B360" t="str">
            <v>CAMPER GOLD ZX 2WD BS6.2 - NEW</v>
          </cell>
          <cell r="C360">
            <v>4237</v>
          </cell>
          <cell r="D360">
            <v>5000</v>
          </cell>
          <cell r="E360">
            <v>5000</v>
          </cell>
          <cell r="F360">
            <v>12712</v>
          </cell>
          <cell r="G360">
            <v>15000</v>
          </cell>
          <cell r="H360">
            <v>5000</v>
          </cell>
          <cell r="I360">
            <v>20000</v>
          </cell>
        </row>
        <row r="361">
          <cell r="B361" t="str">
            <v>CAMPER GOLD ZX 2WD BS6.2 - NEW - CBC</v>
          </cell>
          <cell r="C361">
            <v>4237</v>
          </cell>
          <cell r="D361">
            <v>5000</v>
          </cell>
          <cell r="E361">
            <v>5000</v>
          </cell>
          <cell r="F361">
            <v>12712</v>
          </cell>
          <cell r="G361">
            <v>15000</v>
          </cell>
          <cell r="H361">
            <v>5000</v>
          </cell>
          <cell r="I361">
            <v>20000</v>
          </cell>
        </row>
        <row r="362">
          <cell r="B362" t="str">
            <v>BOL PIK UP 4WD BS6 - PS</v>
          </cell>
          <cell r="C362">
            <v>8475</v>
          </cell>
          <cell r="D362">
            <v>10000</v>
          </cell>
          <cell r="E362">
            <v>10000</v>
          </cell>
          <cell r="F362">
            <v>11017</v>
          </cell>
          <cell r="G362">
            <v>13000</v>
          </cell>
          <cell r="H362">
            <v>5000</v>
          </cell>
          <cell r="I362">
            <v>18000</v>
          </cell>
        </row>
        <row r="363">
          <cell r="B363" t="str">
            <v>BOL PIK UP 4WD BS6.2 - PS</v>
          </cell>
          <cell r="C363">
            <v>8475</v>
          </cell>
          <cell r="D363">
            <v>10000</v>
          </cell>
          <cell r="E363">
            <v>10000</v>
          </cell>
          <cell r="F363">
            <v>11017</v>
          </cell>
          <cell r="G363">
            <v>13000</v>
          </cell>
          <cell r="H363">
            <v>5000</v>
          </cell>
          <cell r="I363">
            <v>18000</v>
          </cell>
        </row>
        <row r="364">
          <cell r="B364" t="str">
            <v>BOL PIK UP CBC 1.3T - BS6.2 - MS</v>
          </cell>
          <cell r="C364">
            <v>12712</v>
          </cell>
          <cell r="D364">
            <v>15000</v>
          </cell>
          <cell r="E364">
            <v>15000</v>
          </cell>
          <cell r="F364">
            <v>15254</v>
          </cell>
          <cell r="G364">
            <v>18000</v>
          </cell>
          <cell r="H364">
            <v>5000</v>
          </cell>
          <cell r="I364">
            <v>23000</v>
          </cell>
        </row>
        <row r="365">
          <cell r="B365" t="str">
            <v>BOL PIK UP CBC 4WD BS6.2 - PS</v>
          </cell>
          <cell r="C365">
            <v>8475</v>
          </cell>
          <cell r="D365">
            <v>10000</v>
          </cell>
          <cell r="E365">
            <v>10000</v>
          </cell>
          <cell r="F365">
            <v>11017</v>
          </cell>
          <cell r="G365">
            <v>13000</v>
          </cell>
          <cell r="H365">
            <v>5000</v>
          </cell>
          <cell r="I365">
            <v>18000</v>
          </cell>
        </row>
        <row r="366">
          <cell r="B366" t="str">
            <v>BOL PIK UP FB 1.3T - BS6 - MS</v>
          </cell>
          <cell r="C366">
            <v>12712</v>
          </cell>
          <cell r="D366">
            <v>15000</v>
          </cell>
          <cell r="E366">
            <v>15000</v>
          </cell>
          <cell r="F366">
            <v>19492</v>
          </cell>
          <cell r="G366">
            <v>23000</v>
          </cell>
          <cell r="H366">
            <v>5000</v>
          </cell>
          <cell r="I366">
            <v>28000</v>
          </cell>
        </row>
        <row r="367">
          <cell r="B367" t="str">
            <v>BOL PIK UP FB 1.3T - BS6 - PS</v>
          </cell>
          <cell r="C367">
            <v>12712</v>
          </cell>
          <cell r="D367">
            <v>15000</v>
          </cell>
          <cell r="E367">
            <v>15000</v>
          </cell>
          <cell r="F367">
            <v>19492</v>
          </cell>
          <cell r="G367">
            <v>23000</v>
          </cell>
          <cell r="H367">
            <v>5000</v>
          </cell>
          <cell r="I367">
            <v>28000</v>
          </cell>
        </row>
        <row r="368">
          <cell r="B368" t="str">
            <v>BOL PIK UP FB 1.3T - BS6.2 - MS</v>
          </cell>
          <cell r="C368">
            <v>12712</v>
          </cell>
          <cell r="D368">
            <v>15000</v>
          </cell>
          <cell r="E368">
            <v>15000</v>
          </cell>
          <cell r="F368">
            <v>19492</v>
          </cell>
          <cell r="G368">
            <v>23000</v>
          </cell>
          <cell r="H368">
            <v>5000</v>
          </cell>
          <cell r="I368">
            <v>28000</v>
          </cell>
        </row>
        <row r="369">
          <cell r="B369" t="str">
            <v>BOL PIK UP FB 1.3T - BS6.2 - PS</v>
          </cell>
          <cell r="C369">
            <v>12712</v>
          </cell>
          <cell r="D369">
            <v>15000</v>
          </cell>
          <cell r="E369">
            <v>15000</v>
          </cell>
          <cell r="F369">
            <v>19492</v>
          </cell>
          <cell r="G369">
            <v>23000</v>
          </cell>
          <cell r="H369">
            <v>5000</v>
          </cell>
          <cell r="I369">
            <v>28000</v>
          </cell>
        </row>
        <row r="370">
          <cell r="B370" t="str">
            <v>BOL PIK UP FB 1.3T - BS6.2 - PS AC</v>
          </cell>
          <cell r="C370">
            <v>12712</v>
          </cell>
          <cell r="D370">
            <v>15000</v>
          </cell>
          <cell r="E370">
            <v>15000</v>
          </cell>
          <cell r="F370">
            <v>19492</v>
          </cell>
          <cell r="G370">
            <v>23000</v>
          </cell>
          <cell r="H370">
            <v>5000</v>
          </cell>
          <cell r="I370">
            <v>28000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AE078-4B16-48B9-8BF3-4669B8F5320F}" name="Vehicle_Model" displayName="Vehicle_Model" ref="A1:A44" totalsRowShown="0" headerRowDxfId="4" headerRowBorderDxfId="3" tableBorderDxfId="2" totalsRowBorderDxfId="1">
  <autoFilter ref="A1:A44" xr:uid="{872D1F9E-68E2-4FA8-806D-2A1889730C7F}"/>
  <tableColumns count="1">
    <tableColumn id="1" xr3:uid="{89CC6FEA-DA6F-4E5E-BBF2-524328D29EB1}" name="Varia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7A5D-75B1-45E6-A53D-CFAC6F741ABF}">
  <sheetPr codeName="Sheet1"/>
  <dimension ref="A1:O34"/>
  <sheetViews>
    <sheetView showGridLines="0" tabSelected="1" topLeftCell="A2" zoomScaleNormal="100" workbookViewId="0">
      <selection activeCell="D3" sqref="D3"/>
    </sheetView>
  </sheetViews>
  <sheetFormatPr defaultRowHeight="15"/>
  <cols>
    <col min="2" max="2" width="12.140625" customWidth="1"/>
    <col min="3" max="3" width="47.5703125" bestFit="1" customWidth="1"/>
    <col min="4" max="4" width="60.7109375" customWidth="1"/>
    <col min="5" max="5" width="3.85546875" customWidth="1"/>
    <col min="6" max="6" width="3.140625" customWidth="1"/>
    <col min="7" max="7" width="121.140625" bestFit="1" customWidth="1"/>
  </cols>
  <sheetData>
    <row r="1" spans="1:1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6.5" thickBot="1">
      <c r="A2" s="9"/>
      <c r="B2" s="9"/>
      <c r="C2" s="9"/>
      <c r="D2" s="10" t="s">
        <v>53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8.75">
      <c r="A3" s="9"/>
      <c r="B3" s="9"/>
      <c r="C3" s="9"/>
      <c r="D3" s="11" t="s">
        <v>30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.75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8.75">
      <c r="A5" s="9"/>
      <c r="B5" s="75" t="s">
        <v>58</v>
      </c>
      <c r="C5" s="15" t="s">
        <v>59</v>
      </c>
      <c r="D5" s="17">
        <f>IFERROR(VLOOKUP($D$3,Sheet1!$B$2:$Z$45,MATCH(Report!$C5,Sheet1!$B$2:$Z$2,0),0),"")</f>
        <v>772700</v>
      </c>
      <c r="E5" s="9"/>
      <c r="F5" s="32" t="s">
        <v>75</v>
      </c>
      <c r="G5" s="32" t="s">
        <v>76</v>
      </c>
      <c r="H5" s="9"/>
      <c r="I5" s="9"/>
      <c r="J5" s="9"/>
      <c r="K5" s="9"/>
      <c r="L5" s="9"/>
      <c r="M5" s="9"/>
      <c r="N5" s="9"/>
      <c r="O5" s="9"/>
    </row>
    <row r="6" spans="1:15" ht="18.75">
      <c r="A6" s="9"/>
      <c r="B6" s="76"/>
      <c r="C6" s="16" t="s">
        <v>55</v>
      </c>
      <c r="D6" s="18">
        <f>IFERROR(VLOOKUP($D$3,Sheet1!$B$2:$Z$45,MATCH(Report!$C6,Sheet1!$B$2:$Z$2,0),0),"")</f>
        <v>0</v>
      </c>
      <c r="E6" s="9"/>
      <c r="F6" s="30">
        <v>1</v>
      </c>
      <c r="G6" s="31" t="s">
        <v>81</v>
      </c>
      <c r="H6" s="9"/>
      <c r="I6" s="9"/>
      <c r="J6" s="9"/>
      <c r="K6" s="9"/>
      <c r="L6" s="9"/>
      <c r="M6" s="9"/>
      <c r="N6" s="9"/>
      <c r="O6" s="9"/>
    </row>
    <row r="7" spans="1:15" ht="18.75">
      <c r="A7" s="9"/>
      <c r="B7" s="76"/>
      <c r="C7" s="16" t="s">
        <v>110</v>
      </c>
      <c r="D7" s="19">
        <f>IFERROR(VLOOKUP($D$3,Sheet1!$B$2:$Z$45,MATCH(Report!$C7,Sheet1!$B$2:$Z$2,0),0),"")</f>
        <v>46940</v>
      </c>
      <c r="E7" s="9"/>
      <c r="F7" s="30">
        <v>2</v>
      </c>
      <c r="G7" s="31" t="s">
        <v>74</v>
      </c>
      <c r="H7" s="9"/>
      <c r="I7" s="9"/>
      <c r="J7" s="9"/>
      <c r="K7" s="9"/>
      <c r="L7" s="9"/>
      <c r="M7" s="9"/>
      <c r="N7" s="9"/>
      <c r="O7" s="9"/>
    </row>
    <row r="8" spans="1:15" ht="18.75">
      <c r="A8" s="9"/>
      <c r="B8" s="76"/>
      <c r="C8" s="16" t="s">
        <v>111</v>
      </c>
      <c r="D8" s="19">
        <f>IFERROR(VLOOKUP($D$3,Sheet1!$B$2:$Z$45,MATCH(Report!$C8,Sheet1!$B$2:$Z$2,0),0),"")</f>
        <v>41590</v>
      </c>
      <c r="E8" s="9"/>
      <c r="F8" s="30">
        <v>3</v>
      </c>
      <c r="G8" s="33" t="s">
        <v>78</v>
      </c>
      <c r="H8" s="9"/>
      <c r="I8" s="9"/>
      <c r="J8" s="9"/>
      <c r="K8" s="9"/>
      <c r="L8" s="9"/>
      <c r="M8" s="9"/>
      <c r="N8" s="9"/>
      <c r="O8" s="9"/>
    </row>
    <row r="9" spans="1:15" ht="18.75">
      <c r="A9" s="9"/>
      <c r="B9" s="76"/>
      <c r="C9" s="16" t="s">
        <v>112</v>
      </c>
      <c r="D9" s="19">
        <f>IFERROR(VLOOKUP($D$3,Sheet1!$B$2:$Z$45,MATCH(Report!$C9,Sheet1!$B$2:$Z$2,0),0),"")</f>
        <v>1519</v>
      </c>
      <c r="E9" s="9"/>
      <c r="F9" s="30">
        <v>4</v>
      </c>
      <c r="G9" s="31" t="s">
        <v>82</v>
      </c>
      <c r="H9" s="9"/>
      <c r="I9" s="9"/>
      <c r="J9" s="9"/>
      <c r="K9" s="9"/>
      <c r="L9" s="9"/>
      <c r="M9" s="9"/>
      <c r="N9" s="9"/>
      <c r="O9" s="9"/>
    </row>
    <row r="10" spans="1:15" ht="18.75">
      <c r="A10" s="9"/>
      <c r="B10" s="76"/>
      <c r="C10" s="16" t="s">
        <v>113</v>
      </c>
      <c r="D10" s="19">
        <f>IFERROR(VLOOKUP($D$3,Sheet1!$B$2:$Z$45,MATCH(Report!$C10,Sheet1!$B$2:$Z$2,0),0),"")</f>
        <v>19318</v>
      </c>
      <c r="E10" s="9"/>
      <c r="F10" s="30">
        <v>5</v>
      </c>
      <c r="G10" s="33" t="s">
        <v>83</v>
      </c>
      <c r="H10" s="9"/>
      <c r="I10" s="9"/>
      <c r="J10" s="9"/>
      <c r="K10" s="9"/>
      <c r="L10" s="9"/>
      <c r="M10" s="9"/>
      <c r="N10" s="9"/>
      <c r="O10" s="9"/>
    </row>
    <row r="11" spans="1:15" ht="18.75">
      <c r="A11" s="9"/>
      <c r="B11" s="76"/>
      <c r="C11" s="16" t="s">
        <v>56</v>
      </c>
      <c r="D11" s="19">
        <f>IFERROR(VLOOKUP($D$3,Sheet1!$B$2:$Z$45,MATCH(Report!$C11,Sheet1!$B$2:$Z$2,0),0),"")</f>
        <v>3500</v>
      </c>
      <c r="E11" s="9"/>
      <c r="F11" s="30">
        <v>6</v>
      </c>
      <c r="G11" s="33" t="s">
        <v>84</v>
      </c>
      <c r="H11" s="9"/>
      <c r="I11" s="9"/>
      <c r="J11" s="9"/>
      <c r="K11" s="9"/>
      <c r="L11" s="9"/>
      <c r="M11" s="9"/>
      <c r="N11" s="9"/>
      <c r="O11" s="9"/>
    </row>
    <row r="12" spans="1:15" ht="18.75">
      <c r="A12" s="9"/>
      <c r="B12" s="76"/>
      <c r="C12" s="16" t="s">
        <v>57</v>
      </c>
      <c r="D12" s="19">
        <f>IFERROR(VLOOKUP($D$3,Sheet1!$B$2:$Z$45,MATCH(Report!$C12,Sheet1!$B$2:$Z$2,0),0),"")</f>
        <v>12000</v>
      </c>
      <c r="E12" s="9"/>
      <c r="F12" s="30">
        <v>7</v>
      </c>
      <c r="G12" s="31" t="s">
        <v>85</v>
      </c>
      <c r="H12" s="9"/>
      <c r="I12" s="9"/>
      <c r="J12" s="9"/>
      <c r="K12" s="9"/>
      <c r="L12" s="9"/>
      <c r="M12" s="9"/>
      <c r="N12" s="9"/>
      <c r="O12" s="9"/>
    </row>
    <row r="13" spans="1:15" ht="18.75" customHeight="1">
      <c r="A13" s="9"/>
      <c r="B13" s="76"/>
      <c r="C13" s="13" t="s">
        <v>114</v>
      </c>
      <c r="D13" s="20">
        <f>IFERROR(VLOOKUP($D$3,Sheet1!$B$2:$Z$45,MATCH(Report!$C13,Sheet1!$B$2:$Z$2,0),0),"")</f>
        <v>897566</v>
      </c>
      <c r="E13" s="9"/>
      <c r="F13" s="30">
        <v>8</v>
      </c>
      <c r="G13" s="31" t="s">
        <v>79</v>
      </c>
      <c r="H13" s="9"/>
      <c r="I13" s="9"/>
      <c r="J13" s="9"/>
      <c r="K13" s="9"/>
      <c r="L13" s="9"/>
      <c r="M13" s="9"/>
      <c r="N13" s="9"/>
      <c r="O13" s="9"/>
    </row>
    <row r="14" spans="1:15" ht="19.5" thickBot="1">
      <c r="A14" s="9"/>
      <c r="B14" s="76"/>
      <c r="C14" s="14" t="s">
        <v>115</v>
      </c>
      <c r="D14" s="21">
        <f>IFERROR(VLOOKUP($D$3,Sheet1!$B$2:$Z$45,MATCH(Report!$C14,Sheet1!$B$2:$Z$2,0),0),"")</f>
        <v>878249</v>
      </c>
      <c r="E14" s="9"/>
      <c r="F14" s="30">
        <v>9</v>
      </c>
      <c r="G14" s="31" t="s">
        <v>80</v>
      </c>
      <c r="H14" s="9"/>
      <c r="I14" s="9"/>
      <c r="J14" s="9"/>
      <c r="K14" s="9"/>
      <c r="L14" s="9"/>
      <c r="M14" s="9"/>
      <c r="N14" s="9"/>
      <c r="O14" s="9"/>
    </row>
    <row r="15" spans="1:15" ht="18.75">
      <c r="A15" s="9"/>
      <c r="B15" s="77" t="s">
        <v>104</v>
      </c>
      <c r="C15" s="73" t="s">
        <v>108</v>
      </c>
      <c r="D15" s="66">
        <f>IFERROR(VLOOKUP($D$3,Sheet1!$B$2:$Z$45,MATCH(Report!$C15,Sheet1!$B$2:$Z$2,0),0),"")</f>
        <v>30000</v>
      </c>
      <c r="E15" s="9"/>
      <c r="F15" s="30">
        <v>10</v>
      </c>
      <c r="G15" s="31" t="s">
        <v>73</v>
      </c>
      <c r="H15" s="9"/>
      <c r="I15" s="9"/>
      <c r="J15" s="9"/>
      <c r="K15" s="9"/>
      <c r="L15" s="9"/>
      <c r="M15" s="9"/>
      <c r="N15" s="9"/>
      <c r="O15" s="9"/>
    </row>
    <row r="16" spans="1:15" ht="19.5" thickBot="1">
      <c r="A16" s="9"/>
      <c r="B16" s="78"/>
      <c r="C16" s="74" t="s">
        <v>97</v>
      </c>
      <c r="D16" s="67">
        <f>IFERROR(VLOOKUP($D$3,Sheet1!$B$2:$Z$45,MATCH(Report!$C16,Sheet1!$B$2:$Z$2,0),0),"")</f>
        <v>0</v>
      </c>
      <c r="E16" s="9"/>
      <c r="F16" s="30">
        <v>11</v>
      </c>
      <c r="G16" s="31" t="s">
        <v>66</v>
      </c>
      <c r="H16" s="9"/>
      <c r="I16" s="9"/>
      <c r="J16" s="9"/>
      <c r="K16" s="9"/>
      <c r="L16" s="9"/>
      <c r="M16" s="9"/>
      <c r="N16" s="9"/>
      <c r="O16" s="9"/>
    </row>
    <row r="17" spans="1:15" ht="18.75" customHeight="1">
      <c r="A17" s="9"/>
      <c r="B17" s="79" t="s">
        <v>60</v>
      </c>
      <c r="C17" s="65" t="s">
        <v>116</v>
      </c>
      <c r="D17" s="64">
        <f>IFERROR(VLOOKUP($D$3,Sheet1!$B$2:$Z$45,MATCH(Report!$C17,Sheet1!$B$2:$Z$2,0),0),"")</f>
        <v>38000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18.75">
      <c r="A18" s="9"/>
      <c r="B18" s="79"/>
      <c r="C18" s="61" t="s">
        <v>117</v>
      </c>
      <c r="D18" s="62">
        <f>IFERROR(VLOOKUP($D$3,Sheet1!$B$2:$Z$45,MATCH(Report!$C18,Sheet1!$B$2:$Z$2,0),0),"")</f>
        <v>10000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18.75">
      <c r="A19" s="9"/>
      <c r="B19" s="79"/>
      <c r="C19" s="63" t="s">
        <v>118</v>
      </c>
      <c r="D19" s="62">
        <f>IFERROR(VLOOKUP($D$3,Sheet1!$B$2:$Z$45,MATCH(Report!$C19,Sheet1!$B$2:$Z$2,0),0),"")</f>
        <v>48000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19.5" thickBot="1">
      <c r="A20" s="9"/>
      <c r="B20" s="79"/>
      <c r="C20" s="63" t="s">
        <v>98</v>
      </c>
      <c r="D20" s="68" t="str">
        <f>IFERROR(VLOOKUP($D$3,Sheet1!$B$2:$Z$45,MATCH(Report!$C20,Sheet1!$B$2:$Z$2,0),0),"")</f>
        <v>100% Insurance + 12K Accessories + RSA FREE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18.75">
      <c r="A21" s="9"/>
      <c r="B21" s="80" t="s">
        <v>107</v>
      </c>
      <c r="C21" s="71" t="s">
        <v>105</v>
      </c>
      <c r="D21" s="69">
        <f>IFERROR(VLOOKUP($D$3,Sheet1!$B$2:$Z$45,MATCH(Report!$C21,Sheet1!$B$2:$Z$2,0),0),"")</f>
        <v>35000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19.5" thickBot="1">
      <c r="A22" s="9"/>
      <c r="B22" s="81"/>
      <c r="C22" s="72" t="s">
        <v>106</v>
      </c>
      <c r="D22" s="70">
        <f>IFERROR(VLOOKUP($D$3,Sheet1!$B$2:$Z$45,MATCH(Report!$C22,Sheet1!$B$2:$Z$2,0),0),"")</f>
        <v>45000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>
      <c r="B34" s="9"/>
      <c r="C34" s="9"/>
      <c r="D34" s="9"/>
      <c r="F34" s="9"/>
      <c r="G34" s="9"/>
    </row>
  </sheetData>
  <sortState xmlns:xlrd2="http://schemas.microsoft.com/office/spreadsheetml/2017/richdata2" ref="F5:G12">
    <sortCondition ref="F5:F12"/>
  </sortState>
  <mergeCells count="4">
    <mergeCell ref="B5:B14"/>
    <mergeCell ref="B15:B16"/>
    <mergeCell ref="B17:B20"/>
    <mergeCell ref="B21:B2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072EA3C-C228-4CC7-912A-B3190D504C5A}">
          <x14:formula1>
            <xm:f>_xlfn.ANCHORARRAY(MasterData!$C2)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E6FD-7762-4C22-90E4-A9620B029028}">
  <sheetPr codeName="Sheet2"/>
  <dimension ref="A1:U36"/>
  <sheetViews>
    <sheetView topLeftCell="G1" workbookViewId="0">
      <selection activeCell="C2" sqref="C2:R2"/>
    </sheetView>
  </sheetViews>
  <sheetFormatPr defaultRowHeight="15"/>
  <cols>
    <col min="1" max="1" width="32.140625" style="12" customWidth="1"/>
    <col min="2" max="2" width="37.85546875" style="12" customWidth="1"/>
    <col min="3" max="3" width="13.7109375" style="12" customWidth="1"/>
    <col min="4" max="4" width="10.28515625" style="12" customWidth="1"/>
    <col min="5" max="5" width="13.7109375" style="12" customWidth="1"/>
    <col min="6" max="6" width="11.42578125" style="12" customWidth="1"/>
    <col min="7" max="7" width="11.140625" style="12" customWidth="1"/>
    <col min="8" max="13" width="13.7109375" style="12" customWidth="1"/>
    <col min="14" max="14" width="42.42578125" style="12" customWidth="1"/>
    <col min="15" max="15" width="11.7109375" style="12" customWidth="1"/>
    <col min="16" max="17" width="13" style="12" customWidth="1"/>
    <col min="18" max="18" width="42.140625" style="12" bestFit="1" customWidth="1"/>
    <col min="19" max="19" width="2.5703125" style="12" customWidth="1"/>
    <col min="20" max="21" width="10.5703125" style="12" customWidth="1"/>
    <col min="22" max="16384" width="9.140625" style="12"/>
  </cols>
  <sheetData>
    <row r="1" spans="1:21" ht="15.75" thickBot="1">
      <c r="A1" s="85" t="s">
        <v>67</v>
      </c>
      <c r="B1" s="86"/>
      <c r="C1" s="82" t="s">
        <v>61</v>
      </c>
      <c r="D1" s="83"/>
      <c r="E1" s="83"/>
      <c r="F1" s="83"/>
      <c r="G1" s="83"/>
      <c r="H1" s="83"/>
      <c r="I1" s="83"/>
      <c r="J1" s="83"/>
      <c r="K1" s="83"/>
      <c r="L1" s="84"/>
      <c r="M1" s="87" t="s">
        <v>95</v>
      </c>
      <c r="N1" s="88"/>
      <c r="O1" s="89" t="s">
        <v>96</v>
      </c>
      <c r="P1" s="90"/>
      <c r="Q1" s="90"/>
      <c r="R1" s="91"/>
      <c r="S1" s="42"/>
      <c r="T1" s="52"/>
      <c r="U1" s="52"/>
    </row>
    <row r="2" spans="1:21" ht="75.75" thickBot="1">
      <c r="A2" s="26" t="s">
        <v>63</v>
      </c>
      <c r="B2" s="27" t="s">
        <v>54</v>
      </c>
      <c r="C2" s="5" t="s">
        <v>59</v>
      </c>
      <c r="D2" s="6" t="s">
        <v>55</v>
      </c>
      <c r="E2" s="6" t="s">
        <v>110</v>
      </c>
      <c r="F2" s="6" t="s">
        <v>111</v>
      </c>
      <c r="G2" s="6" t="s">
        <v>112</v>
      </c>
      <c r="H2" s="6" t="s">
        <v>113</v>
      </c>
      <c r="I2" s="6" t="s">
        <v>56</v>
      </c>
      <c r="J2" s="6" t="s">
        <v>57</v>
      </c>
      <c r="K2" s="6" t="s">
        <v>114</v>
      </c>
      <c r="L2" s="28" t="s">
        <v>115</v>
      </c>
      <c r="M2" s="36" t="s">
        <v>108</v>
      </c>
      <c r="N2" s="37" t="s">
        <v>97</v>
      </c>
      <c r="O2" s="39" t="s">
        <v>116</v>
      </c>
      <c r="P2" s="40" t="s">
        <v>117</v>
      </c>
      <c r="Q2" s="40" t="s">
        <v>118</v>
      </c>
      <c r="R2" s="41" t="s">
        <v>98</v>
      </c>
      <c r="S2" s="43"/>
      <c r="T2" s="53" t="s">
        <v>105</v>
      </c>
      <c r="U2" s="53" t="s">
        <v>106</v>
      </c>
    </row>
    <row r="3" spans="1:21">
      <c r="A3" s="22" t="s">
        <v>18</v>
      </c>
      <c r="B3" s="23" t="s">
        <v>30</v>
      </c>
      <c r="C3" s="7" cm="1">
        <f t="array" ref="C3:L3">VLOOKUP(A3,[1]Sheet1!$B$1:$L$35,{2,3,4,5,6,7,8,9,10,11},FALSE)</f>
        <v>772700</v>
      </c>
      <c r="D3" s="8">
        <v>0</v>
      </c>
      <c r="E3" s="8">
        <v>46940</v>
      </c>
      <c r="F3" s="8">
        <v>41590</v>
      </c>
      <c r="G3" s="8">
        <v>1519</v>
      </c>
      <c r="H3" s="8">
        <v>19318</v>
      </c>
      <c r="I3" s="8">
        <v>3500</v>
      </c>
      <c r="J3" s="8">
        <v>12000</v>
      </c>
      <c r="K3" s="8">
        <v>897566</v>
      </c>
      <c r="L3" s="29">
        <v>878249</v>
      </c>
      <c r="M3" s="57">
        <f>VLOOKUP(B3,'[2]Consumer Scheme 08.01.2026'!$B$2:$I$370,3,FALSE)</f>
        <v>30000</v>
      </c>
      <c r="N3" s="58"/>
      <c r="O3" s="44" cm="1">
        <f t="array" ref="O3:Q3">VLOOKUP(B3,'[2]Consumer Scheme 08.01.2026'!$B$2:$I$370,{6,7,8},FALSE)</f>
        <v>38000</v>
      </c>
      <c r="P3" s="38">
        <v>10000</v>
      </c>
      <c r="Q3" s="38">
        <v>48000</v>
      </c>
      <c r="R3" s="45" t="s">
        <v>89</v>
      </c>
      <c r="S3" s="51"/>
      <c r="T3" s="54">
        <v>35000</v>
      </c>
      <c r="U3" s="54">
        <v>45000</v>
      </c>
    </row>
    <row r="4" spans="1:21">
      <c r="A4" s="24" t="s">
        <v>17</v>
      </c>
      <c r="B4" s="25" t="s">
        <v>31</v>
      </c>
      <c r="C4" s="7" cm="1">
        <f t="array" ref="C4:L4">VLOOKUP(A4,[1]Sheet1!$B$1:$L$35,{2,3,4,5,6,7,8,9,10,11},FALSE)</f>
        <v>763499</v>
      </c>
      <c r="D4" s="8">
        <v>0</v>
      </c>
      <c r="E4" s="8">
        <v>46629</v>
      </c>
      <c r="F4" s="8">
        <v>41722</v>
      </c>
      <c r="G4" s="8">
        <v>1519</v>
      </c>
      <c r="H4" s="8">
        <v>19087</v>
      </c>
      <c r="I4" s="8">
        <v>3500</v>
      </c>
      <c r="J4" s="8">
        <v>12000</v>
      </c>
      <c r="K4" s="8">
        <v>887957</v>
      </c>
      <c r="L4" s="29">
        <v>868869</v>
      </c>
      <c r="M4" s="57">
        <f>VLOOKUP(B4,'[2]Consumer Scheme 08.01.2026'!$B$2:$I$370,3,FALSE)</f>
        <v>30000</v>
      </c>
      <c r="N4" s="58"/>
      <c r="O4" s="46" cm="1">
        <f t="array" ref="O4:Q4">VLOOKUP(B4,'[2]Consumer Scheme 08.01.2026'!$B$2:$I$370,{6,7,8},FALSE)</f>
        <v>38000</v>
      </c>
      <c r="P4" s="35">
        <v>10000</v>
      </c>
      <c r="Q4" s="35">
        <v>48000</v>
      </c>
      <c r="R4" s="47" t="s">
        <v>89</v>
      </c>
      <c r="S4" s="51"/>
      <c r="T4" s="55">
        <v>35000</v>
      </c>
      <c r="U4" s="55">
        <v>45000</v>
      </c>
    </row>
    <row r="5" spans="1:21">
      <c r="A5" s="24" t="s">
        <v>22</v>
      </c>
      <c r="B5" s="25" t="s">
        <v>32</v>
      </c>
      <c r="C5" s="7" cm="1">
        <f t="array" ref="C5:L5">VLOOKUP(A5,[1]Sheet1!$B$1:$L$35,{2,3,4,5,6,7,8,9,10,11},FALSE)</f>
        <v>795600</v>
      </c>
      <c r="D5" s="8">
        <v>0</v>
      </c>
      <c r="E5" s="8">
        <v>47715</v>
      </c>
      <c r="F5" s="8">
        <v>42754</v>
      </c>
      <c r="G5" s="8">
        <v>1519</v>
      </c>
      <c r="H5" s="8">
        <v>19890</v>
      </c>
      <c r="I5" s="8">
        <v>3500</v>
      </c>
      <c r="J5" s="8">
        <v>12000</v>
      </c>
      <c r="K5" s="8">
        <v>922978</v>
      </c>
      <c r="L5" s="29">
        <v>903088</v>
      </c>
      <c r="M5" s="57">
        <f>VLOOKUP(B5,'[2]Consumer Scheme 08.01.2026'!$B$2:$I$370,3,FALSE)</f>
        <v>30000</v>
      </c>
      <c r="N5" s="58"/>
      <c r="O5" s="46" cm="1">
        <f t="array" ref="O5:Q5">VLOOKUP(B5,'[2]Consumer Scheme 08.01.2026'!$B$2:$I$370,{6,7,8},FALSE)</f>
        <v>38000</v>
      </c>
      <c r="P5" s="35">
        <v>10000</v>
      </c>
      <c r="Q5" s="35">
        <v>48000</v>
      </c>
      <c r="R5" s="47" t="s">
        <v>89</v>
      </c>
      <c r="S5" s="51"/>
      <c r="T5" s="55">
        <v>35000</v>
      </c>
      <c r="U5" s="55">
        <v>45000</v>
      </c>
    </row>
    <row r="6" spans="1:21">
      <c r="A6" s="24" t="s">
        <v>21</v>
      </c>
      <c r="B6" s="25" t="s">
        <v>33</v>
      </c>
      <c r="C6" s="7" cm="1">
        <f t="array" ref="C6:L6">VLOOKUP(A6,[1]Sheet1!$B$1:$L$35,{2,3,4,5,6,7,8,9,10,11},FALSE)</f>
        <v>800199</v>
      </c>
      <c r="D6" s="8">
        <v>0</v>
      </c>
      <c r="E6" s="8">
        <v>47869</v>
      </c>
      <c r="F6" s="8">
        <v>42988</v>
      </c>
      <c r="G6" s="8">
        <v>1519</v>
      </c>
      <c r="H6" s="8">
        <v>20005</v>
      </c>
      <c r="I6" s="8">
        <v>3500</v>
      </c>
      <c r="J6" s="8">
        <v>12000</v>
      </c>
      <c r="K6" s="8">
        <v>928080</v>
      </c>
      <c r="L6" s="29">
        <v>908075</v>
      </c>
      <c r="M6" s="57">
        <f>VLOOKUP(B6,'[2]Consumer Scheme 08.01.2026'!$B$2:$I$370,3,FALSE)</f>
        <v>30000</v>
      </c>
      <c r="N6" s="58"/>
      <c r="O6" s="46" cm="1">
        <f t="array" ref="O6:Q6">VLOOKUP(B6,'[2]Consumer Scheme 08.01.2026'!$B$2:$I$370,{6,7,8},FALSE)</f>
        <v>38000</v>
      </c>
      <c r="P6" s="35">
        <v>10000</v>
      </c>
      <c r="Q6" s="35">
        <v>48000</v>
      </c>
      <c r="R6" s="47" t="s">
        <v>89</v>
      </c>
      <c r="S6" s="51"/>
      <c r="T6" s="55">
        <v>35000</v>
      </c>
      <c r="U6" s="55">
        <v>45000</v>
      </c>
    </row>
    <row r="7" spans="1:21">
      <c r="A7" s="24" t="s">
        <v>20</v>
      </c>
      <c r="B7" s="25" t="s">
        <v>35</v>
      </c>
      <c r="C7" s="7" cm="1">
        <f t="array" ref="C7:L7">VLOOKUP(A7,[1]Sheet1!$B$1:$L$35,{2,3,4,5,6,7,8,9,10,11},FALSE)</f>
        <v>809400</v>
      </c>
      <c r="D7" s="8">
        <v>0</v>
      </c>
      <c r="E7" s="8">
        <v>48178</v>
      </c>
      <c r="F7" s="8">
        <v>43456</v>
      </c>
      <c r="G7" s="8">
        <v>1519</v>
      </c>
      <c r="H7" s="8">
        <v>20235</v>
      </c>
      <c r="I7" s="8">
        <v>3500</v>
      </c>
      <c r="J7" s="8">
        <v>12000</v>
      </c>
      <c r="K7" s="8">
        <v>938288</v>
      </c>
      <c r="L7" s="29">
        <v>918053</v>
      </c>
      <c r="M7" s="57">
        <f>VLOOKUP(B7,'[2]Consumer Scheme 08.01.2026'!$B$2:$I$370,3,FALSE)</f>
        <v>30000</v>
      </c>
      <c r="N7" s="58"/>
      <c r="O7" s="46" cm="1">
        <f t="array" ref="O7:Q7">VLOOKUP(B7,'[2]Consumer Scheme 08.01.2026'!$B$2:$I$370,{6,7,8},FALSE)</f>
        <v>38000</v>
      </c>
      <c r="P7" s="35">
        <v>10000</v>
      </c>
      <c r="Q7" s="35">
        <v>48000</v>
      </c>
      <c r="R7" s="47" t="s">
        <v>89</v>
      </c>
      <c r="S7" s="51"/>
      <c r="T7" s="55">
        <v>35000</v>
      </c>
      <c r="U7" s="55">
        <v>45000</v>
      </c>
    </row>
    <row r="8" spans="1:21">
      <c r="A8" s="24" t="s">
        <v>19</v>
      </c>
      <c r="B8" s="25" t="s">
        <v>34</v>
      </c>
      <c r="C8" s="7" cm="1">
        <f t="array" ref="C8:L8">VLOOKUP(A8,[1]Sheet1!$B$1:$L$35,{2,3,4,5,6,7,8,9,10,11},FALSE)</f>
        <v>791000</v>
      </c>
      <c r="D8" s="8">
        <v>0</v>
      </c>
      <c r="E8" s="8">
        <v>47343</v>
      </c>
      <c r="F8" s="8">
        <v>42520</v>
      </c>
      <c r="G8" s="8">
        <v>1519</v>
      </c>
      <c r="H8" s="8">
        <v>19775</v>
      </c>
      <c r="I8" s="8">
        <v>3500</v>
      </c>
      <c r="J8" s="8">
        <v>12000</v>
      </c>
      <c r="K8" s="8">
        <v>917657</v>
      </c>
      <c r="L8" s="29">
        <v>897882</v>
      </c>
      <c r="M8" s="57">
        <f>VLOOKUP(B8,'[2]Consumer Scheme 08.01.2026'!$B$2:$I$370,3,FALSE)</f>
        <v>30000</v>
      </c>
      <c r="N8" s="58"/>
      <c r="O8" s="46" cm="1">
        <f t="array" ref="O8:Q8">VLOOKUP(B8,'[2]Consumer Scheme 08.01.2026'!$B$2:$I$370,{6,7,8},FALSE)</f>
        <v>38000</v>
      </c>
      <c r="P8" s="35">
        <v>10000</v>
      </c>
      <c r="Q8" s="35">
        <v>48000</v>
      </c>
      <c r="R8" s="47" t="s">
        <v>89</v>
      </c>
      <c r="S8" s="51"/>
      <c r="T8" s="55">
        <v>35000</v>
      </c>
      <c r="U8" s="55">
        <v>45000</v>
      </c>
    </row>
    <row r="9" spans="1:21">
      <c r="A9" s="24" t="s">
        <v>23</v>
      </c>
      <c r="B9" s="25" t="s">
        <v>36</v>
      </c>
      <c r="C9" s="7" cm="1">
        <f t="array" ref="C9:L9">VLOOKUP(A9,[1]Sheet1!$B$1:$L$35,{2,3,4,5,6,7,8,9,10,11},FALSE)</f>
        <v>793900</v>
      </c>
      <c r="D9" s="8">
        <v>0</v>
      </c>
      <c r="E9" s="8">
        <v>47658</v>
      </c>
      <c r="F9" s="8">
        <v>42668</v>
      </c>
      <c r="G9" s="8">
        <v>1519</v>
      </c>
      <c r="H9" s="8">
        <v>11908</v>
      </c>
      <c r="I9" s="8">
        <v>3500</v>
      </c>
      <c r="J9" s="8">
        <v>12000</v>
      </c>
      <c r="K9" s="8">
        <v>913153</v>
      </c>
      <c r="L9" s="29">
        <v>901245</v>
      </c>
      <c r="M9" s="57">
        <f>VLOOKUP(B9,'[2]Consumer Scheme 08.01.2026'!$B$2:$I$370,3,FALSE)</f>
        <v>65000</v>
      </c>
      <c r="N9" s="58"/>
      <c r="O9" s="46" cm="1">
        <f t="array" ref="O9:Q9">VLOOKUP(B9,'[2]Consumer Scheme 08.01.2026'!$B$2:$I$370,{6,7,8},FALSE)</f>
        <v>65000</v>
      </c>
      <c r="P9" s="35">
        <v>10000</v>
      </c>
      <c r="Q9" s="35">
        <v>75000</v>
      </c>
      <c r="R9" s="47" t="s">
        <v>86</v>
      </c>
      <c r="S9" s="51"/>
      <c r="T9" s="55">
        <v>35000</v>
      </c>
      <c r="U9" s="55">
        <v>45000</v>
      </c>
    </row>
    <row r="10" spans="1:21">
      <c r="A10" s="24" t="s">
        <v>15</v>
      </c>
      <c r="B10" s="25" t="s">
        <v>37</v>
      </c>
      <c r="C10" s="7" cm="1">
        <f t="array" ref="C10:L10">VLOOKUP(A10,[1]Sheet1!$B$1:$L$35,{2,3,4,5,6,7,8,9,10,11},FALSE)</f>
        <v>916700</v>
      </c>
      <c r="D10" s="8">
        <v>0</v>
      </c>
      <c r="E10" s="8">
        <v>50714</v>
      </c>
      <c r="F10" s="8">
        <v>48912</v>
      </c>
      <c r="G10" s="8">
        <v>1519</v>
      </c>
      <c r="H10" s="8">
        <v>22918</v>
      </c>
      <c r="I10" s="8">
        <v>3500</v>
      </c>
      <c r="J10" s="8">
        <v>12000</v>
      </c>
      <c r="K10" s="8">
        <v>1056262</v>
      </c>
      <c r="L10" s="29">
        <v>1033345</v>
      </c>
      <c r="M10" s="57">
        <f>VLOOKUP(B10,'[2]Consumer Scheme 08.01.2026'!$B$2:$I$370,3,FALSE)</f>
        <v>10000</v>
      </c>
      <c r="N10" s="58"/>
      <c r="O10" s="46" cm="1">
        <f t="array" ref="O10:Q10">VLOOKUP(B10,'[2]Consumer Scheme 08.01.2026'!$B$2:$I$370,{6,7,8},FALSE)</f>
        <v>23000</v>
      </c>
      <c r="P10" s="35">
        <v>5000</v>
      </c>
      <c r="Q10" s="35">
        <v>28000</v>
      </c>
      <c r="R10" s="47" t="s">
        <v>77</v>
      </c>
      <c r="S10" s="51"/>
      <c r="T10" s="55">
        <v>35000</v>
      </c>
      <c r="U10" s="55">
        <v>45000</v>
      </c>
    </row>
    <row r="11" spans="1:21">
      <c r="A11" s="24" t="s">
        <v>16</v>
      </c>
      <c r="B11" s="25" t="s">
        <v>38</v>
      </c>
      <c r="C11" s="7" cm="1">
        <f t="array" ref="C11:L11">VLOOKUP(A11,[1]Sheet1!$B$1:$L$35,{2,3,4,5,6,7,8,9,10,11},FALSE)</f>
        <v>962600</v>
      </c>
      <c r="D11" s="8">
        <v>0</v>
      </c>
      <c r="E11" s="8">
        <v>52213</v>
      </c>
      <c r="F11" s="8">
        <v>51246</v>
      </c>
      <c r="G11" s="8">
        <v>1519</v>
      </c>
      <c r="H11" s="8">
        <v>24065</v>
      </c>
      <c r="I11" s="8">
        <v>3500</v>
      </c>
      <c r="J11" s="8">
        <v>12000</v>
      </c>
      <c r="K11" s="8">
        <v>1107143</v>
      </c>
      <c r="L11" s="29">
        <v>1083078</v>
      </c>
      <c r="M11" s="57">
        <f>VLOOKUP(B11,'[2]Consumer Scheme 08.01.2026'!$B$2:$I$370,3,FALSE)</f>
        <v>10000</v>
      </c>
      <c r="N11" s="58"/>
      <c r="O11" s="46" cm="1">
        <f t="array" ref="O11:Q11">VLOOKUP(B11,'[2]Consumer Scheme 08.01.2026'!$B$2:$I$370,{6,7,8},FALSE)</f>
        <v>28000</v>
      </c>
      <c r="P11" s="35">
        <v>5000</v>
      </c>
      <c r="Q11" s="35">
        <v>33000</v>
      </c>
      <c r="R11" s="47" t="s">
        <v>77</v>
      </c>
      <c r="S11" s="51"/>
      <c r="T11" s="55">
        <v>35000</v>
      </c>
      <c r="U11" s="55">
        <v>45000</v>
      </c>
    </row>
    <row r="12" spans="1:21">
      <c r="A12" s="24" t="s">
        <v>2</v>
      </c>
      <c r="B12" s="25" t="s">
        <v>39</v>
      </c>
      <c r="C12" s="7" cm="1">
        <f t="array" ref="C12:L12">VLOOKUP(A12,[1]Sheet1!$B$1:$L$35,{2,3,4,5,6,7,8,9,10,11},FALSE)</f>
        <v>926900</v>
      </c>
      <c r="D12" s="8">
        <v>0</v>
      </c>
      <c r="E12" s="8">
        <v>51048</v>
      </c>
      <c r="F12" s="8">
        <v>49781</v>
      </c>
      <c r="G12" s="8">
        <v>1519</v>
      </c>
      <c r="H12" s="8">
        <v>23173</v>
      </c>
      <c r="I12" s="8">
        <v>3500</v>
      </c>
      <c r="J12" s="8">
        <v>12000</v>
      </c>
      <c r="K12" s="8">
        <v>1067920</v>
      </c>
      <c r="L12" s="29">
        <v>1044748</v>
      </c>
      <c r="M12" s="57">
        <f>VLOOKUP(B12,'[2]Consumer Scheme 08.01.2026'!$B$2:$I$370,3,FALSE)</f>
        <v>20000</v>
      </c>
      <c r="N12" s="58"/>
      <c r="O12" s="46" cm="1">
        <f t="array" ref="O12:Q12">VLOOKUP(B12,'[2]Consumer Scheme 08.01.2026'!$B$2:$I$370,{6,7,8},FALSE)</f>
        <v>26000</v>
      </c>
      <c r="P12" s="35">
        <v>5000</v>
      </c>
      <c r="Q12" s="35">
        <v>31000</v>
      </c>
      <c r="R12" s="47" t="s">
        <v>87</v>
      </c>
      <c r="S12" s="51"/>
      <c r="T12" s="55">
        <v>35000</v>
      </c>
      <c r="U12" s="55">
        <v>45000</v>
      </c>
    </row>
    <row r="13" spans="1:21">
      <c r="A13" s="24" t="s">
        <v>1</v>
      </c>
      <c r="B13" s="25" t="s">
        <v>40</v>
      </c>
      <c r="C13" s="7" cm="1">
        <f t="array" ref="C13:L13">VLOOKUP(A13,[1]Sheet1!$B$1:$L$35,{2,3,4,5,6,7,8,9,10,11},FALSE)</f>
        <v>902000</v>
      </c>
      <c r="D13" s="8">
        <v>0</v>
      </c>
      <c r="E13" s="8">
        <v>50233</v>
      </c>
      <c r="F13" s="8">
        <v>49114</v>
      </c>
      <c r="G13" s="8">
        <v>1519</v>
      </c>
      <c r="H13" s="8">
        <v>22550</v>
      </c>
      <c r="I13" s="8">
        <v>3500</v>
      </c>
      <c r="J13" s="8">
        <v>12000</v>
      </c>
      <c r="K13" s="8">
        <v>1040916</v>
      </c>
      <c r="L13" s="29">
        <v>1018366</v>
      </c>
      <c r="M13" s="57">
        <f>VLOOKUP(B13,'[2]Consumer Scheme 08.01.2026'!$B$2:$I$370,3,FALSE)</f>
        <v>20000</v>
      </c>
      <c r="N13" s="58"/>
      <c r="O13" s="46" cm="1">
        <f t="array" ref="O13:Q13">VLOOKUP(B13,'[2]Consumer Scheme 08.01.2026'!$B$2:$I$370,{6,7,8},FALSE)</f>
        <v>26000</v>
      </c>
      <c r="P13" s="35">
        <v>5000</v>
      </c>
      <c r="Q13" s="35">
        <v>31000</v>
      </c>
      <c r="R13" s="47" t="s">
        <v>87</v>
      </c>
      <c r="S13" s="51"/>
      <c r="T13" s="55">
        <v>35000</v>
      </c>
      <c r="U13" s="55">
        <v>45000</v>
      </c>
    </row>
    <row r="14" spans="1:21">
      <c r="A14" s="24" t="s">
        <v>5</v>
      </c>
      <c r="B14" s="25" t="s">
        <v>41</v>
      </c>
      <c r="C14" s="7" cm="1">
        <f t="array" ref="C14:L14">VLOOKUP(A14,[1]Sheet1!$B$1:$L$35,{2,3,4,5,6,7,8,9,10,11},FALSE)</f>
        <v>954400</v>
      </c>
      <c r="D14" s="8">
        <v>0</v>
      </c>
      <c r="E14" s="8">
        <v>51947</v>
      </c>
      <c r="F14" s="8">
        <v>51179</v>
      </c>
      <c r="G14" s="8">
        <v>1519</v>
      </c>
      <c r="H14" s="8">
        <v>23860</v>
      </c>
      <c r="I14" s="8">
        <v>3500</v>
      </c>
      <c r="J14" s="8">
        <v>12000</v>
      </c>
      <c r="K14" s="8">
        <v>1098404</v>
      </c>
      <c r="L14" s="29">
        <v>1074544</v>
      </c>
      <c r="M14" s="57">
        <f>VLOOKUP(B14,'[2]Consumer Scheme 08.01.2026'!$B$2:$I$370,3,FALSE)</f>
        <v>10000</v>
      </c>
      <c r="N14" s="58"/>
      <c r="O14" s="46" cm="1">
        <f t="array" ref="O14:Q14">VLOOKUP(B14,'[2]Consumer Scheme 08.01.2026'!$B$2:$I$370,{6,7,8},FALSE)</f>
        <v>35000</v>
      </c>
      <c r="P14" s="35">
        <v>5000</v>
      </c>
      <c r="Q14" s="35">
        <v>40000</v>
      </c>
      <c r="R14" s="47" t="s">
        <v>88</v>
      </c>
      <c r="S14" s="51"/>
      <c r="T14" s="55">
        <v>35000</v>
      </c>
      <c r="U14" s="55">
        <v>45000</v>
      </c>
    </row>
    <row r="15" spans="1:21">
      <c r="A15" s="24" t="s">
        <v>4</v>
      </c>
      <c r="B15" s="25" t="s">
        <v>43</v>
      </c>
      <c r="C15" s="7" cm="1">
        <f t="array" ref="C15:L15">VLOOKUP(A15,[1]Sheet1!$B$1:$L$35,{2,3,4,5,6,7,8,9,10,11},FALSE)</f>
        <v>968201</v>
      </c>
      <c r="D15" s="8">
        <v>0</v>
      </c>
      <c r="E15" s="8">
        <v>52396</v>
      </c>
      <c r="F15" s="8">
        <v>51881</v>
      </c>
      <c r="G15" s="8">
        <v>1519</v>
      </c>
      <c r="H15" s="8">
        <v>24205</v>
      </c>
      <c r="I15" s="8">
        <v>3500</v>
      </c>
      <c r="J15" s="8">
        <v>12000</v>
      </c>
      <c r="K15" s="8">
        <v>1113702</v>
      </c>
      <c r="L15" s="29">
        <v>1089497</v>
      </c>
      <c r="M15" s="57">
        <f>VLOOKUP(B15,'[2]Consumer Scheme 08.01.2026'!$B$2:$I$370,3,FALSE)</f>
        <v>20000</v>
      </c>
      <c r="N15" s="58"/>
      <c r="O15" s="46" cm="1">
        <f t="array" ref="O15:Q15">VLOOKUP(B15,'[2]Consumer Scheme 08.01.2026'!$B$2:$I$370,{6,7,8},FALSE)</f>
        <v>29000</v>
      </c>
      <c r="P15" s="35">
        <v>5000</v>
      </c>
      <c r="Q15" s="35">
        <v>34000</v>
      </c>
      <c r="R15" s="47" t="s">
        <v>87</v>
      </c>
      <c r="S15" s="51"/>
      <c r="T15" s="55">
        <v>35000</v>
      </c>
      <c r="U15" s="55">
        <v>45000</v>
      </c>
    </row>
    <row r="16" spans="1:21">
      <c r="A16" s="24" t="s">
        <v>3</v>
      </c>
      <c r="B16" s="25" t="s">
        <v>42</v>
      </c>
      <c r="C16" s="7" cm="1">
        <f t="array" ref="C16:L16">VLOOKUP(A16,[1]Sheet1!$B$1:$L$35,{2,3,4,5,6,7,8,9,10,11},FALSE)</f>
        <v>951600</v>
      </c>
      <c r="D16" s="8">
        <v>0</v>
      </c>
      <c r="E16" s="8">
        <v>51826</v>
      </c>
      <c r="F16" s="8">
        <v>51036</v>
      </c>
      <c r="G16" s="8">
        <v>1519</v>
      </c>
      <c r="H16" s="8">
        <v>23790</v>
      </c>
      <c r="I16" s="8">
        <v>3500</v>
      </c>
      <c r="J16" s="8">
        <v>12000</v>
      </c>
      <c r="K16" s="8">
        <v>1095272</v>
      </c>
      <c r="L16" s="29">
        <v>1071482</v>
      </c>
      <c r="M16" s="57">
        <f>VLOOKUP(B16,'[2]Consumer Scheme 08.01.2026'!$B$2:$I$370,3,FALSE)</f>
        <v>10000</v>
      </c>
      <c r="N16" s="58"/>
      <c r="O16" s="46" cm="1">
        <f t="array" ref="O16:Q16">VLOOKUP(B16,'[2]Consumer Scheme 08.01.2026'!$B$2:$I$370,{6,7,8},FALSE)</f>
        <v>35000</v>
      </c>
      <c r="P16" s="35">
        <v>5000</v>
      </c>
      <c r="Q16" s="35">
        <v>40000</v>
      </c>
      <c r="R16" s="47" t="s">
        <v>94</v>
      </c>
      <c r="S16" s="51"/>
      <c r="T16" s="55">
        <v>35000</v>
      </c>
      <c r="U16" s="55">
        <v>45000</v>
      </c>
    </row>
    <row r="17" spans="1:21">
      <c r="A17" s="24" t="s">
        <v>6</v>
      </c>
      <c r="B17" s="25" t="s">
        <v>44</v>
      </c>
      <c r="C17" s="7" cm="1">
        <f t="array" ref="C17:L17">VLOOKUP(A17,[1]Sheet1!$B$1:$L$35,{2,3,4,5,6,7,8,9,10,11},FALSE)</f>
        <v>949800</v>
      </c>
      <c r="D17" s="8">
        <v>0</v>
      </c>
      <c r="E17" s="8">
        <v>51795</v>
      </c>
      <c r="F17" s="8">
        <v>50945</v>
      </c>
      <c r="G17" s="8">
        <v>1519</v>
      </c>
      <c r="H17" s="8">
        <v>23745</v>
      </c>
      <c r="I17" s="8">
        <v>3500</v>
      </c>
      <c r="J17" s="8">
        <v>12000</v>
      </c>
      <c r="K17" s="8">
        <v>1093304</v>
      </c>
      <c r="L17" s="29">
        <v>1069559</v>
      </c>
      <c r="M17" s="57">
        <f>VLOOKUP(B17,'[2]Consumer Scheme 08.01.2026'!$B$2:$I$370,3,FALSE)</f>
        <v>25000</v>
      </c>
      <c r="N17" s="58"/>
      <c r="O17" s="46" cm="1">
        <f t="array" ref="O17:Q17">VLOOKUP(B17,'[2]Consumer Scheme 08.01.2026'!$B$2:$I$370,{6,7,8},FALSE)</f>
        <v>29000</v>
      </c>
      <c r="P17" s="35">
        <v>5000</v>
      </c>
      <c r="Q17" s="35">
        <v>34000</v>
      </c>
      <c r="R17" s="47" t="s">
        <v>87</v>
      </c>
      <c r="S17" s="51"/>
      <c r="T17" s="55">
        <v>35000</v>
      </c>
      <c r="U17" s="55">
        <v>45000</v>
      </c>
    </row>
    <row r="18" spans="1:21">
      <c r="A18" s="24" t="s">
        <v>8</v>
      </c>
      <c r="B18" s="25" t="s">
        <v>45</v>
      </c>
      <c r="C18" s="7" cm="1">
        <f t="array" ref="C18:L18">VLOOKUP(A18,[1]Sheet1!$B$1:$L$35,{2,3,4,5,6,7,8,9,10,11},FALSE)</f>
        <v>977300</v>
      </c>
      <c r="D18" s="8">
        <v>0</v>
      </c>
      <c r="E18" s="8">
        <v>52694</v>
      </c>
      <c r="F18" s="8">
        <v>52343</v>
      </c>
      <c r="G18" s="8">
        <v>1519</v>
      </c>
      <c r="H18" s="8">
        <v>24433</v>
      </c>
      <c r="I18" s="8">
        <v>3500</v>
      </c>
      <c r="J18" s="8">
        <v>12000</v>
      </c>
      <c r="K18" s="8">
        <v>1123789</v>
      </c>
      <c r="L18" s="29">
        <v>1099356</v>
      </c>
      <c r="M18" s="57">
        <f>VLOOKUP(B18,'[2]Consumer Scheme 08.01.2026'!$B$2:$I$370,3,FALSE)</f>
        <v>20000</v>
      </c>
      <c r="N18" s="58"/>
      <c r="O18" s="46" cm="1">
        <f t="array" ref="O18:Q18">VLOOKUP(B18,'[2]Consumer Scheme 08.01.2026'!$B$2:$I$370,{6,7,8},FALSE)</f>
        <v>32000</v>
      </c>
      <c r="P18" s="35">
        <v>5000</v>
      </c>
      <c r="Q18" s="35">
        <v>37000</v>
      </c>
      <c r="R18" s="47" t="s">
        <v>88</v>
      </c>
      <c r="S18" s="51"/>
      <c r="T18" s="55">
        <v>35000</v>
      </c>
      <c r="U18" s="55">
        <v>45000</v>
      </c>
    </row>
    <row r="19" spans="1:21">
      <c r="A19" s="24" t="s">
        <v>9</v>
      </c>
      <c r="B19" s="25" t="s">
        <v>46</v>
      </c>
      <c r="C19" s="7" cm="1">
        <f t="array" ref="C19:L19">VLOOKUP(A19,[1]Sheet1!$B$1:$L$35,{2,3,4,5,6,7,8,9,10,11},FALSE)</f>
        <v>977300</v>
      </c>
      <c r="D19" s="8">
        <v>0</v>
      </c>
      <c r="E19" s="8">
        <v>52694</v>
      </c>
      <c r="F19" s="8">
        <v>52343</v>
      </c>
      <c r="G19" s="8">
        <v>1519</v>
      </c>
      <c r="H19" s="8">
        <v>24433</v>
      </c>
      <c r="I19" s="8">
        <v>3500</v>
      </c>
      <c r="J19" s="8">
        <v>12000</v>
      </c>
      <c r="K19" s="8">
        <v>1123789</v>
      </c>
      <c r="L19" s="29">
        <v>1099356</v>
      </c>
      <c r="M19" s="57">
        <f>VLOOKUP(B19,'[2]Consumer Scheme 08.01.2026'!$B$2:$I$370,3,FALSE)</f>
        <v>20000</v>
      </c>
      <c r="N19" s="58"/>
      <c r="O19" s="46" cm="1">
        <f t="array" ref="O19:Q19">VLOOKUP(B19,'[2]Consumer Scheme 08.01.2026'!$B$2:$I$370,{6,7,8},FALSE)</f>
        <v>25000</v>
      </c>
      <c r="P19" s="35">
        <v>5000</v>
      </c>
      <c r="Q19" s="35">
        <v>30000</v>
      </c>
      <c r="R19" s="47" t="s">
        <v>87</v>
      </c>
      <c r="S19" s="51"/>
      <c r="T19" s="55">
        <v>35000</v>
      </c>
      <c r="U19" s="55">
        <v>45000</v>
      </c>
    </row>
    <row r="20" spans="1:21">
      <c r="A20" s="24" t="s">
        <v>7</v>
      </c>
      <c r="B20" s="25" t="s">
        <v>47</v>
      </c>
      <c r="C20" s="7" cm="1">
        <f t="array" ref="C20:L20">VLOOKUP(A20,[1]Sheet1!$B$1:$L$35,{2,3,4,5,6,7,8,9,10,11},FALSE)</f>
        <v>962700</v>
      </c>
      <c r="D20" s="8">
        <v>0</v>
      </c>
      <c r="E20" s="8">
        <v>52160</v>
      </c>
      <c r="F20" s="8">
        <v>51601</v>
      </c>
      <c r="G20" s="8">
        <v>1519</v>
      </c>
      <c r="H20" s="8">
        <v>24068</v>
      </c>
      <c r="I20" s="8">
        <v>3500</v>
      </c>
      <c r="J20" s="8">
        <v>12000</v>
      </c>
      <c r="K20" s="8">
        <v>1107548</v>
      </c>
      <c r="L20" s="29">
        <v>1083480</v>
      </c>
      <c r="M20" s="57">
        <f>VLOOKUP(B20,'[2]Consumer Scheme 08.01.2026'!$B$2:$I$370,3,FALSE)</f>
        <v>20000</v>
      </c>
      <c r="N20" s="58"/>
      <c r="O20" s="46" cm="1">
        <f t="array" ref="O20:Q20">VLOOKUP(B20,'[2]Consumer Scheme 08.01.2026'!$B$2:$I$370,{6,7,8},FALSE)</f>
        <v>32000</v>
      </c>
      <c r="P20" s="35">
        <v>5000</v>
      </c>
      <c r="Q20" s="35">
        <v>37000</v>
      </c>
      <c r="R20" s="47" t="s">
        <v>94</v>
      </c>
      <c r="S20" s="51"/>
      <c r="T20" s="55">
        <v>35000</v>
      </c>
      <c r="U20" s="55">
        <v>45000</v>
      </c>
    </row>
    <row r="21" spans="1:21">
      <c r="A21" s="24" t="s">
        <v>68</v>
      </c>
      <c r="B21" s="25" t="s">
        <v>68</v>
      </c>
      <c r="C21" s="7" cm="1">
        <f t="array" ref="C21:L21">VLOOKUP(A21,[1]Sheet1!$B$1:$L$35,{2,3,4,5,6,7,8,9,10,11},FALSE)</f>
        <v>1026900</v>
      </c>
      <c r="D21" s="8">
        <v>10269</v>
      </c>
      <c r="E21" s="8">
        <v>54318</v>
      </c>
      <c r="F21" s="8">
        <v>54865</v>
      </c>
      <c r="G21" s="8">
        <v>1519</v>
      </c>
      <c r="H21" s="8">
        <v>25673</v>
      </c>
      <c r="I21" s="8">
        <v>3500</v>
      </c>
      <c r="J21" s="8">
        <v>12000</v>
      </c>
      <c r="K21" s="8">
        <v>1189043</v>
      </c>
      <c r="L21" s="29">
        <v>1163371</v>
      </c>
      <c r="M21" s="57">
        <f>VLOOKUP(B21,'[2]Consumer Scheme 08.01.2026'!$B$2:$I$370,3,FALSE)</f>
        <v>65000</v>
      </c>
      <c r="N21" s="58"/>
      <c r="O21" s="46" cm="1">
        <f t="array" ref="O21:Q21">VLOOKUP(B21,'[2]Consumer Scheme 08.01.2026'!$B$2:$I$370,{6,7,8},FALSE)</f>
        <v>65000</v>
      </c>
      <c r="P21" s="35">
        <v>5000</v>
      </c>
      <c r="Q21" s="35">
        <v>70000</v>
      </c>
      <c r="R21" s="47" t="s">
        <v>91</v>
      </c>
      <c r="S21" s="51"/>
      <c r="T21" s="55">
        <v>35000</v>
      </c>
      <c r="U21" s="55">
        <v>45000</v>
      </c>
    </row>
    <row r="22" spans="1:21">
      <c r="A22" s="24" t="s">
        <v>11</v>
      </c>
      <c r="B22" s="25" t="s">
        <v>48</v>
      </c>
      <c r="C22" s="7" cm="1">
        <f t="array" ref="C22:L22">VLOOKUP(A22,[1]Sheet1!$B$1:$L$35,{2,3,4,5,6,7,8,9,10,11},FALSE)</f>
        <v>1015000</v>
      </c>
      <c r="D22" s="8">
        <v>10150</v>
      </c>
      <c r="E22" s="8">
        <v>53735</v>
      </c>
      <c r="F22" s="8">
        <v>54260</v>
      </c>
      <c r="G22" s="8">
        <v>1519</v>
      </c>
      <c r="H22" s="8">
        <v>35525</v>
      </c>
      <c r="I22" s="8">
        <v>3500</v>
      </c>
      <c r="J22" s="8">
        <v>12000</v>
      </c>
      <c r="K22" s="8">
        <v>1185689</v>
      </c>
      <c r="L22" s="29">
        <v>1150164</v>
      </c>
      <c r="M22" s="57">
        <f>VLOOKUP(B22,'[2]Consumer Scheme 08.01.2026'!$B$2:$I$370,3,FALSE)</f>
        <v>15000</v>
      </c>
      <c r="N22" s="58"/>
      <c r="O22" s="46" cm="1">
        <f t="array" ref="O22:Q22">VLOOKUP(B22,'[2]Consumer Scheme 08.01.2026'!$B$2:$I$370,{6,7,8},FALSE)</f>
        <v>24500</v>
      </c>
      <c r="P22" s="35">
        <v>5000</v>
      </c>
      <c r="Q22" s="35">
        <v>29500</v>
      </c>
      <c r="R22" s="47" t="s">
        <v>90</v>
      </c>
      <c r="S22" s="51"/>
      <c r="T22" s="55">
        <v>35000</v>
      </c>
      <c r="U22" s="55">
        <v>45000</v>
      </c>
    </row>
    <row r="23" spans="1:21">
      <c r="A23" s="24" t="s">
        <v>10</v>
      </c>
      <c r="B23" s="25" t="s">
        <v>49</v>
      </c>
      <c r="C23" s="7" cm="1">
        <f t="array" ref="C23:L23">VLOOKUP(A23,[1]Sheet1!$B$1:$L$35,{2,3,4,5,6,7,8,9,10,11},FALSE)</f>
        <v>981800</v>
      </c>
      <c r="D23" s="8">
        <v>0</v>
      </c>
      <c r="E23" s="8">
        <v>52735</v>
      </c>
      <c r="F23" s="8">
        <v>53172</v>
      </c>
      <c r="G23" s="8">
        <v>1519</v>
      </c>
      <c r="H23" s="8">
        <v>24545</v>
      </c>
      <c r="I23" s="8">
        <v>3500</v>
      </c>
      <c r="J23" s="8">
        <v>12000</v>
      </c>
      <c r="K23" s="8">
        <v>1129271</v>
      </c>
      <c r="L23" s="29">
        <v>1104726</v>
      </c>
      <c r="M23" s="57">
        <f>VLOOKUP(B23,'[2]Consumer Scheme 08.01.2026'!$B$2:$I$370,3,FALSE)</f>
        <v>15000</v>
      </c>
      <c r="N23" s="58"/>
      <c r="O23" s="46" cm="1">
        <f t="array" ref="O23:Q23">VLOOKUP(B23,'[2]Consumer Scheme 08.01.2026'!$B$2:$I$370,{6,7,8},FALSE)</f>
        <v>24500</v>
      </c>
      <c r="P23" s="35">
        <v>5000</v>
      </c>
      <c r="Q23" s="35">
        <v>29500</v>
      </c>
      <c r="R23" s="47" t="s">
        <v>90</v>
      </c>
      <c r="S23" s="51"/>
      <c r="T23" s="55">
        <v>35000</v>
      </c>
      <c r="U23" s="55">
        <v>45000</v>
      </c>
    </row>
    <row r="24" spans="1:21">
      <c r="A24" s="24" t="s">
        <v>13</v>
      </c>
      <c r="B24" s="25" t="s">
        <v>50</v>
      </c>
      <c r="C24" s="7" cm="1">
        <f t="array" ref="C24:L24">VLOOKUP(A24,[1]Sheet1!$B$1:$L$35,{2,3,4,5,6,7,8,9,10,11},FALSE)</f>
        <v>1038800</v>
      </c>
      <c r="D24" s="8">
        <v>10388</v>
      </c>
      <c r="E24" s="8">
        <v>54451</v>
      </c>
      <c r="F24" s="8">
        <v>55470</v>
      </c>
      <c r="G24" s="8">
        <v>1519</v>
      </c>
      <c r="H24" s="8">
        <v>36358</v>
      </c>
      <c r="I24" s="8">
        <v>3500</v>
      </c>
      <c r="J24" s="8">
        <v>12000</v>
      </c>
      <c r="K24" s="8">
        <v>1212487</v>
      </c>
      <c r="L24" s="29">
        <v>1176129</v>
      </c>
      <c r="M24" s="57">
        <f>VLOOKUP(B24,'[2]Consumer Scheme 08.01.2026'!$B$2:$I$370,3,FALSE)</f>
        <v>10000</v>
      </c>
      <c r="N24" s="58"/>
      <c r="O24" s="46" cm="1">
        <f t="array" ref="O24:Q24">VLOOKUP(B24,'[2]Consumer Scheme 08.01.2026'!$B$2:$I$370,{6,7,8},FALSE)</f>
        <v>23000</v>
      </c>
      <c r="P24" s="35">
        <v>5000</v>
      </c>
      <c r="Q24" s="35">
        <v>28000</v>
      </c>
      <c r="R24" s="47" t="s">
        <v>90</v>
      </c>
      <c r="S24" s="51"/>
      <c r="T24" s="55">
        <v>35000</v>
      </c>
      <c r="U24" s="55">
        <v>45000</v>
      </c>
    </row>
    <row r="25" spans="1:21">
      <c r="A25" s="24" t="s">
        <v>69</v>
      </c>
      <c r="B25" s="25" t="s">
        <v>70</v>
      </c>
      <c r="C25" s="7" cm="1">
        <f t="array" ref="C25:L25">VLOOKUP(A25,[1]Sheet1!$B$1:$L$35,{2,3,4,5,6,7,8,9,10,11},FALSE)</f>
        <v>1024100</v>
      </c>
      <c r="D25" s="8">
        <v>10241</v>
      </c>
      <c r="E25" s="8">
        <v>54223</v>
      </c>
      <c r="F25" s="8">
        <v>54723</v>
      </c>
      <c r="G25" s="8">
        <v>1519</v>
      </c>
      <c r="H25" s="8">
        <v>35844</v>
      </c>
      <c r="I25" s="8">
        <v>3500</v>
      </c>
      <c r="J25" s="8">
        <v>12000</v>
      </c>
      <c r="K25" s="8">
        <v>1196150</v>
      </c>
      <c r="L25" s="29">
        <v>1160306</v>
      </c>
      <c r="M25" s="57">
        <f>VLOOKUP(B25,'[2]Consumer Scheme 08.01.2026'!$B$2:$I$370,3,FALSE)</f>
        <v>15000</v>
      </c>
      <c r="N25" s="58"/>
      <c r="O25" s="46" cm="1">
        <f t="array" ref="O25:Q25">VLOOKUP(B25,'[2]Consumer Scheme 08.01.2026'!$B$2:$I$370,{6,7,8},FALSE)</f>
        <v>24500</v>
      </c>
      <c r="P25" s="35">
        <v>5000</v>
      </c>
      <c r="Q25" s="35">
        <v>29500</v>
      </c>
      <c r="R25" s="47" t="s">
        <v>90</v>
      </c>
      <c r="S25" s="51"/>
      <c r="T25" s="55">
        <v>35000</v>
      </c>
      <c r="U25" s="55">
        <v>45000</v>
      </c>
    </row>
    <row r="26" spans="1:21">
      <c r="A26" s="24" t="s">
        <v>71</v>
      </c>
      <c r="B26" s="25" t="s">
        <v>72</v>
      </c>
      <c r="C26" s="7" cm="1">
        <f t="array" ref="C26:L26">VLOOKUP(A26,[1]Sheet1!$B$1:$L$35,{2,3,4,5,6,7,8,9,10,11},FALSE)</f>
        <v>991000</v>
      </c>
      <c r="D26" s="8">
        <v>0</v>
      </c>
      <c r="E26" s="8">
        <v>53142</v>
      </c>
      <c r="F26" s="8">
        <v>53640</v>
      </c>
      <c r="G26" s="8">
        <v>1519</v>
      </c>
      <c r="H26" s="8">
        <v>24775</v>
      </c>
      <c r="I26" s="8">
        <v>3500</v>
      </c>
      <c r="J26" s="8">
        <v>12000</v>
      </c>
      <c r="K26" s="8">
        <v>1139576</v>
      </c>
      <c r="L26" s="29">
        <v>1114801</v>
      </c>
      <c r="M26" s="57">
        <f>VLOOKUP(B26,'[2]Consumer Scheme 08.01.2026'!$B$2:$I$370,3,FALSE)</f>
        <v>15000</v>
      </c>
      <c r="N26" s="58"/>
      <c r="O26" s="46" cm="1">
        <f t="array" ref="O26:Q26">VLOOKUP(B26,'[2]Consumer Scheme 08.01.2026'!$B$2:$I$370,{6,7,8},FALSE)</f>
        <v>24500</v>
      </c>
      <c r="P26" s="35">
        <v>5000</v>
      </c>
      <c r="Q26" s="35">
        <v>29500</v>
      </c>
      <c r="R26" s="47" t="s">
        <v>90</v>
      </c>
      <c r="S26" s="51"/>
      <c r="T26" s="55">
        <v>35000</v>
      </c>
      <c r="U26" s="55">
        <v>45000</v>
      </c>
    </row>
    <row r="27" spans="1:21">
      <c r="A27" s="24" t="s">
        <v>14</v>
      </c>
      <c r="B27" s="25" t="s">
        <v>52</v>
      </c>
      <c r="C27" s="7" cm="1">
        <f t="array" ref="C27:L27">VLOOKUP(A27,[1]Sheet1!$B$1:$L$35,{2,3,4,5,6,7,8,9,10,11},FALSE)</f>
        <v>1051700</v>
      </c>
      <c r="D27" s="8">
        <v>10517</v>
      </c>
      <c r="E27" s="8">
        <v>55125</v>
      </c>
      <c r="F27" s="8">
        <v>56126</v>
      </c>
      <c r="G27" s="8">
        <v>1519</v>
      </c>
      <c r="H27" s="8">
        <v>36809</v>
      </c>
      <c r="I27" s="8">
        <v>3500</v>
      </c>
      <c r="J27" s="8">
        <v>12000</v>
      </c>
      <c r="K27" s="8">
        <v>1227296</v>
      </c>
      <c r="L27" s="29">
        <v>1190487</v>
      </c>
      <c r="M27" s="57">
        <f>VLOOKUP(B27,'[2]Consumer Scheme 08.01.2026'!$B$2:$I$370,3,FALSE)</f>
        <v>15000</v>
      </c>
      <c r="N27" s="58"/>
      <c r="O27" s="46" cm="1">
        <f t="array" ref="O27:Q27">VLOOKUP(B27,'[2]Consumer Scheme 08.01.2026'!$B$2:$I$370,{6,7,8},FALSE)</f>
        <v>23000</v>
      </c>
      <c r="P27" s="35">
        <v>5000</v>
      </c>
      <c r="Q27" s="35">
        <v>28000</v>
      </c>
      <c r="R27" s="47" t="s">
        <v>90</v>
      </c>
      <c r="S27" s="51"/>
      <c r="T27" s="55">
        <v>35000</v>
      </c>
      <c r="U27" s="55">
        <v>45000</v>
      </c>
    </row>
    <row r="28" spans="1:21">
      <c r="A28" s="24" t="s">
        <v>12</v>
      </c>
      <c r="B28" s="25" t="s">
        <v>51</v>
      </c>
      <c r="C28" s="7" cm="1">
        <f t="array" ref="C28:L28">VLOOKUP(A28,[1]Sheet1!$B$1:$L$35,{2,3,4,5,6,7,8,9,10,11},FALSE)</f>
        <v>1034200</v>
      </c>
      <c r="D28" s="8">
        <v>10342</v>
      </c>
      <c r="E28" s="8">
        <v>54312</v>
      </c>
      <c r="F28" s="8">
        <v>55236</v>
      </c>
      <c r="G28" s="8">
        <v>1519</v>
      </c>
      <c r="H28" s="8">
        <v>36197</v>
      </c>
      <c r="I28" s="8">
        <v>3500</v>
      </c>
      <c r="J28" s="8">
        <v>12000</v>
      </c>
      <c r="K28" s="8">
        <v>1207307</v>
      </c>
      <c r="L28" s="29">
        <v>1171110</v>
      </c>
      <c r="M28" s="57">
        <f>VLOOKUP(B28,'[2]Consumer Scheme 08.01.2026'!$B$2:$I$370,3,FALSE)</f>
        <v>10000</v>
      </c>
      <c r="N28" s="58"/>
      <c r="O28" s="46" cm="1">
        <f t="array" ref="O28:Q28">VLOOKUP(B28,'[2]Consumer Scheme 08.01.2026'!$B$2:$I$370,{6,7,8},FALSE)</f>
        <v>23000</v>
      </c>
      <c r="P28" s="35">
        <v>5000</v>
      </c>
      <c r="Q28" s="35">
        <v>28000</v>
      </c>
      <c r="R28" s="47" t="s">
        <v>90</v>
      </c>
      <c r="S28" s="51"/>
      <c r="T28" s="55">
        <v>35000</v>
      </c>
      <c r="U28" s="55">
        <v>45000</v>
      </c>
    </row>
    <row r="29" spans="1:21">
      <c r="A29" s="24" t="s">
        <v>64</v>
      </c>
      <c r="B29" s="25" t="s">
        <v>65</v>
      </c>
      <c r="C29" s="7" cm="1">
        <f t="array" ref="C29:L29">VLOOKUP(A29,[1]Sheet1!$B$1:$L$35,{2,3,4,5,6,7,8,9,10,11},FALSE)</f>
        <v>958101</v>
      </c>
      <c r="D29" s="8">
        <v>0</v>
      </c>
      <c r="E29" s="8">
        <v>52372</v>
      </c>
      <c r="F29" s="8">
        <v>51017</v>
      </c>
      <c r="G29" s="8">
        <v>1519</v>
      </c>
      <c r="H29" s="8">
        <v>14372</v>
      </c>
      <c r="I29" s="8">
        <v>3500</v>
      </c>
      <c r="J29" s="8">
        <v>12000</v>
      </c>
      <c r="K29" s="8">
        <v>1092880</v>
      </c>
      <c r="L29" s="29">
        <v>1078509</v>
      </c>
      <c r="M29" s="57">
        <f>VLOOKUP(B29,'[2]Consumer Scheme 08.01.2026'!$B$2:$I$370,3,FALSE)</f>
        <v>65000</v>
      </c>
      <c r="N29" s="58"/>
      <c r="O29" s="46" cm="1">
        <f t="array" ref="O29:Q29">VLOOKUP(B29,'[2]Consumer Scheme 08.01.2026'!$B$2:$I$370,{6,7,8},FALSE)</f>
        <v>65000</v>
      </c>
      <c r="P29" s="35">
        <v>5000</v>
      </c>
      <c r="Q29" s="35">
        <v>70000</v>
      </c>
      <c r="R29" s="47" t="s">
        <v>91</v>
      </c>
      <c r="S29" s="51"/>
      <c r="T29" s="55">
        <v>35000</v>
      </c>
      <c r="U29" s="55">
        <v>45000</v>
      </c>
    </row>
    <row r="30" spans="1:21">
      <c r="A30" s="24" t="s">
        <v>27</v>
      </c>
      <c r="B30" s="25" t="s">
        <v>99</v>
      </c>
      <c r="C30" s="7" cm="1">
        <f t="array" ref="C30:L30">VLOOKUP(A30,[1]Sheet1!$B$1:$L$35,{2,3,4,5,6,7,8,9,10,11},FALSE)</f>
        <v>885500</v>
      </c>
      <c r="D30" s="8">
        <v>0</v>
      </c>
      <c r="E30" s="8">
        <v>49695</v>
      </c>
      <c r="F30" s="8">
        <v>47325</v>
      </c>
      <c r="G30" s="8">
        <v>1519</v>
      </c>
      <c r="H30" s="8">
        <v>22137</v>
      </c>
      <c r="I30" s="8">
        <v>3500</v>
      </c>
      <c r="J30" s="8">
        <v>16000</v>
      </c>
      <c r="K30" s="8">
        <v>1025677</v>
      </c>
      <c r="L30" s="29">
        <v>1003539</v>
      </c>
      <c r="M30" s="57">
        <f>VLOOKUP(B30,'[2]Consumer Scheme 08.01.2026'!$B$2:$I$370,3,FALSE)</f>
        <v>5000</v>
      </c>
      <c r="N30" s="58"/>
      <c r="O30" s="46" cm="1">
        <f t="array" ref="O30:Q30">VLOOKUP(B30,'[2]Consumer Scheme 08.01.2026'!$B$2:$I$370,{6,7,8},FALSE)</f>
        <v>20000</v>
      </c>
      <c r="P30" s="35">
        <v>5000</v>
      </c>
      <c r="Q30" s="35">
        <v>25000</v>
      </c>
      <c r="R30" s="47" t="s">
        <v>93</v>
      </c>
      <c r="S30" s="51"/>
      <c r="T30" s="55">
        <v>35000</v>
      </c>
      <c r="U30" s="55">
        <v>45000</v>
      </c>
    </row>
    <row r="31" spans="1:21">
      <c r="A31" s="24" t="s">
        <v>26</v>
      </c>
      <c r="B31" s="25" t="s">
        <v>100</v>
      </c>
      <c r="C31" s="7" cm="1">
        <f t="array" ref="C31:L31">VLOOKUP(A31,[1]Sheet1!$B$1:$L$35,{2,3,4,5,6,7,8,9,10,11},FALSE)</f>
        <v>970000</v>
      </c>
      <c r="D31" s="8">
        <v>0</v>
      </c>
      <c r="E31" s="8">
        <v>53339</v>
      </c>
      <c r="F31" s="8">
        <v>51622</v>
      </c>
      <c r="G31" s="8">
        <v>1519</v>
      </c>
      <c r="H31" s="8">
        <v>24250</v>
      </c>
      <c r="I31" s="8">
        <v>3500</v>
      </c>
      <c r="J31" s="8">
        <v>16000</v>
      </c>
      <c r="K31" s="8">
        <v>1120230</v>
      </c>
      <c r="L31" s="29">
        <v>1095980</v>
      </c>
      <c r="M31" s="57">
        <f>VLOOKUP(B31,'[2]Consumer Scheme 08.01.2026'!$B$2:$I$370,3,FALSE)</f>
        <v>5000</v>
      </c>
      <c r="N31" s="58"/>
      <c r="O31" s="46" cm="1">
        <f t="array" ref="O31:Q31">VLOOKUP(B31,'[2]Consumer Scheme 08.01.2026'!$B$2:$I$370,{6,7,8},FALSE)</f>
        <v>20000</v>
      </c>
      <c r="P31" s="35">
        <v>5000</v>
      </c>
      <c r="Q31" s="35">
        <v>25000</v>
      </c>
      <c r="R31" s="47" t="s">
        <v>93</v>
      </c>
      <c r="S31" s="51"/>
      <c r="T31" s="55">
        <v>35000</v>
      </c>
      <c r="U31" s="55">
        <v>45000</v>
      </c>
    </row>
    <row r="32" spans="1:21">
      <c r="A32" s="24" t="s">
        <v>28</v>
      </c>
      <c r="B32" s="25" t="s">
        <v>101</v>
      </c>
      <c r="C32" s="7" cm="1">
        <f t="array" ref="C32:L32">VLOOKUP(A32,[1]Sheet1!$B$1:$L$35,{2,3,4,5,6,7,8,9,10,11},FALSE)</f>
        <v>997700</v>
      </c>
      <c r="D32" s="8">
        <v>0</v>
      </c>
      <c r="E32" s="8">
        <v>53362</v>
      </c>
      <c r="F32" s="8">
        <v>53031</v>
      </c>
      <c r="G32" s="8">
        <v>1519</v>
      </c>
      <c r="H32" s="8">
        <v>24943</v>
      </c>
      <c r="I32" s="8">
        <v>3500</v>
      </c>
      <c r="J32" s="8">
        <v>16000</v>
      </c>
      <c r="K32" s="8">
        <v>1150054</v>
      </c>
      <c r="L32" s="29">
        <v>1125112</v>
      </c>
      <c r="M32" s="57">
        <f>VLOOKUP(B32,'[2]Consumer Scheme 08.01.2026'!$B$2:$I$370,3,FALSE)</f>
        <v>5000</v>
      </c>
      <c r="N32" s="58"/>
      <c r="O32" s="46" cm="1">
        <f t="array" ref="O32:Q32">VLOOKUP(B32,'[2]Consumer Scheme 08.01.2026'!$B$2:$I$370,{6,7,8},FALSE)</f>
        <v>20000</v>
      </c>
      <c r="P32" s="35">
        <v>5000</v>
      </c>
      <c r="Q32" s="35">
        <v>25000</v>
      </c>
      <c r="R32" s="47" t="s">
        <v>93</v>
      </c>
      <c r="S32" s="51"/>
      <c r="T32" s="55">
        <v>35000</v>
      </c>
      <c r="U32" s="55">
        <v>45000</v>
      </c>
    </row>
    <row r="33" spans="1:21">
      <c r="A33" s="24" t="s">
        <v>62</v>
      </c>
      <c r="B33" s="25" t="s">
        <v>102</v>
      </c>
      <c r="C33" s="7" cm="1">
        <f t="array" ref="C33:L33">VLOOKUP(A33,[1]Sheet1!$B$1:$L$35,{2,3,4,5,6,7,8,9,10,11},FALSE)</f>
        <v>922200</v>
      </c>
      <c r="D33" s="8">
        <v>0</v>
      </c>
      <c r="E33" s="8">
        <v>50896</v>
      </c>
      <c r="F33" s="8">
        <v>49192</v>
      </c>
      <c r="G33" s="8">
        <v>1519</v>
      </c>
      <c r="H33" s="8">
        <v>23055</v>
      </c>
      <c r="I33" s="8">
        <v>3500</v>
      </c>
      <c r="J33" s="8">
        <v>14000</v>
      </c>
      <c r="K33" s="8">
        <v>1064361</v>
      </c>
      <c r="L33" s="29">
        <v>1041306</v>
      </c>
      <c r="M33" s="57">
        <f>VLOOKUP(B33,'[2]Consumer Scheme 08.01.2026'!$B$2:$I$370,3,FALSE)</f>
        <v>5000</v>
      </c>
      <c r="N33" s="58"/>
      <c r="O33" s="46" cm="1">
        <f t="array" ref="O33:Q33">VLOOKUP(B33,'[2]Consumer Scheme 08.01.2026'!$B$2:$I$370,{6,7,8},FALSE)</f>
        <v>15000</v>
      </c>
      <c r="P33" s="35">
        <v>5000</v>
      </c>
      <c r="Q33" s="35">
        <v>20000</v>
      </c>
      <c r="R33" s="47" t="s">
        <v>93</v>
      </c>
      <c r="S33" s="51"/>
      <c r="T33" s="55">
        <v>35000</v>
      </c>
      <c r="U33" s="55">
        <v>45000</v>
      </c>
    </row>
    <row r="34" spans="1:21">
      <c r="A34" s="24" t="s">
        <v>29</v>
      </c>
      <c r="B34" s="25" t="s">
        <v>103</v>
      </c>
      <c r="C34" s="7" cm="1">
        <f t="array" ref="C34:L34">VLOOKUP(A34,[1]Sheet1!$B$1:$L$35,{2,3,4,5,6,7,8,9,10,11},FALSE)</f>
        <v>999900</v>
      </c>
      <c r="D34" s="8">
        <v>0</v>
      </c>
      <c r="E34" s="8">
        <v>53432</v>
      </c>
      <c r="F34" s="8">
        <v>53142</v>
      </c>
      <c r="G34" s="8">
        <v>1519</v>
      </c>
      <c r="H34" s="8">
        <v>24997</v>
      </c>
      <c r="I34" s="8">
        <v>3500</v>
      </c>
      <c r="J34" s="8">
        <v>14000</v>
      </c>
      <c r="K34" s="8">
        <v>1150491</v>
      </c>
      <c r="L34" s="29">
        <v>1125493</v>
      </c>
      <c r="M34" s="57">
        <f>VLOOKUP(B34,'[2]Consumer Scheme 08.01.2026'!$B$2:$I$370,3,FALSE)</f>
        <v>5000</v>
      </c>
      <c r="N34" s="58"/>
      <c r="O34" s="46" cm="1">
        <f t="array" ref="O34:Q34">VLOOKUP(B34,'[2]Consumer Scheme 08.01.2026'!$B$2:$I$370,{6,7,8},FALSE)</f>
        <v>15000</v>
      </c>
      <c r="P34" s="35">
        <v>5000</v>
      </c>
      <c r="Q34" s="35">
        <v>20000</v>
      </c>
      <c r="R34" s="47" t="s">
        <v>93</v>
      </c>
      <c r="S34" s="51"/>
      <c r="T34" s="55">
        <v>35000</v>
      </c>
      <c r="U34" s="55">
        <v>45000</v>
      </c>
    </row>
    <row r="35" spans="1:21">
      <c r="A35" s="24" t="s">
        <v>24</v>
      </c>
      <c r="B35" s="25" t="s">
        <v>24</v>
      </c>
      <c r="C35" s="7" cm="1">
        <f t="array" ref="C35:L35">VLOOKUP(A35,[1]Sheet1!$B$1:$L$35,{2,3,4,5,6,7,8,9,10,11},FALSE)</f>
        <v>962800</v>
      </c>
      <c r="D35" s="8">
        <v>0</v>
      </c>
      <c r="E35" s="8">
        <v>52222</v>
      </c>
      <c r="F35" s="8">
        <v>51256</v>
      </c>
      <c r="G35" s="8">
        <v>1519</v>
      </c>
      <c r="H35" s="8">
        <v>24070</v>
      </c>
      <c r="I35" s="8">
        <v>3500</v>
      </c>
      <c r="J35" s="8">
        <v>12000</v>
      </c>
      <c r="K35" s="8">
        <v>1107368</v>
      </c>
      <c r="L35" s="29">
        <v>1083298</v>
      </c>
      <c r="M35" s="57">
        <f>VLOOKUP(B35,'[2]Consumer Scheme 08.01.2026'!$B$2:$I$370,3,FALSE)</f>
        <v>15000</v>
      </c>
      <c r="N35" s="58"/>
      <c r="O35" s="46" cm="1">
        <f t="array" ref="O35:Q35">VLOOKUP(B35,'[2]Consumer Scheme 08.01.2026'!$B$2:$I$370,{6,7,8},FALSE)</f>
        <v>23000</v>
      </c>
      <c r="P35" s="35">
        <v>5000</v>
      </c>
      <c r="Q35" s="35">
        <v>28000</v>
      </c>
      <c r="R35" s="47" t="s">
        <v>92</v>
      </c>
      <c r="S35" s="51"/>
      <c r="T35" s="55">
        <v>35000</v>
      </c>
      <c r="U35" s="55">
        <v>45000</v>
      </c>
    </row>
    <row r="36" spans="1:21" ht="15.75" thickBot="1">
      <c r="A36" s="24" t="s">
        <v>25</v>
      </c>
      <c r="B36" s="25" t="s">
        <v>25</v>
      </c>
      <c r="C36" s="7" cm="1">
        <f t="array" ref="C36:L36">VLOOKUP(A36,[1]Sheet1!$B$1:$L$35,{2,3,4,5,6,7,8,9,10,11},FALSE)</f>
        <v>985700</v>
      </c>
      <c r="D36" s="8">
        <v>0</v>
      </c>
      <c r="E36" s="8">
        <v>52969</v>
      </c>
      <c r="F36" s="8">
        <v>52420</v>
      </c>
      <c r="G36" s="8">
        <v>1519</v>
      </c>
      <c r="H36" s="8">
        <v>24643</v>
      </c>
      <c r="I36" s="8">
        <v>3500</v>
      </c>
      <c r="J36" s="8">
        <v>12000</v>
      </c>
      <c r="K36" s="8">
        <v>1132751</v>
      </c>
      <c r="L36" s="29">
        <v>1108109</v>
      </c>
      <c r="M36" s="59">
        <f>VLOOKUP(B36,'[2]Consumer Scheme 08.01.2026'!$B$2:$I$370,3,FALSE)</f>
        <v>15000</v>
      </c>
      <c r="N36" s="60"/>
      <c r="O36" s="48" cm="1">
        <f t="array" ref="O36:Q36">VLOOKUP(B36,'[2]Consumer Scheme 08.01.2026'!$B$2:$I$370,{6,7,8},FALSE)</f>
        <v>23000</v>
      </c>
      <c r="P36" s="49">
        <v>5000</v>
      </c>
      <c r="Q36" s="49">
        <v>28000</v>
      </c>
      <c r="R36" s="50" t="s">
        <v>92</v>
      </c>
      <c r="S36" s="51"/>
      <c r="T36" s="56">
        <v>35000</v>
      </c>
      <c r="U36" s="56">
        <v>45000</v>
      </c>
    </row>
  </sheetData>
  <autoFilter ref="A2:T36" xr:uid="{8B23E6FD-7762-4C22-90E4-A9620B029028}"/>
  <mergeCells count="4">
    <mergeCell ref="C1:L1"/>
    <mergeCell ref="A1:B1"/>
    <mergeCell ref="M1:N1"/>
    <mergeCell ref="O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D76A-B490-420B-BAEB-D8ED77990FC7}">
  <sheetPr codeName="Sheet3"/>
  <dimension ref="A1:E44"/>
  <sheetViews>
    <sheetView workbookViewId="0">
      <selection activeCell="E1" sqref="E1"/>
    </sheetView>
  </sheetViews>
  <sheetFormatPr defaultRowHeight="15"/>
  <cols>
    <col min="1" max="1" width="44.85546875" bestFit="1" customWidth="1"/>
    <col min="2" max="2" width="20" customWidth="1"/>
    <col min="3" max="3" width="22" customWidth="1"/>
    <col min="5" max="5" width="12.7109375" customWidth="1"/>
  </cols>
  <sheetData>
    <row r="1" spans="1:5">
      <c r="A1" s="4" t="s">
        <v>54</v>
      </c>
      <c r="C1" s="1" t="s">
        <v>0</v>
      </c>
      <c r="E1" s="34" t="s">
        <v>109</v>
      </c>
    </row>
    <row r="2" spans="1:5">
      <c r="A2" s="2" t="s">
        <v>30</v>
      </c>
      <c r="C2" t="str" cm="1">
        <f t="array" ref="C2">TRANSPOSE(_xlfn._xlws.SORT(_xlfn._xlws.FILTER(Vehicle_Model[Variant],ISNUMBER(SEARCH(Report!D3,Vehicle_Model[Variant])),"Not Found")))</f>
        <v>MAXX CITY 1.3 LX BS6.2</v>
      </c>
    </row>
    <row r="3" spans="1:5">
      <c r="A3" s="2" t="s">
        <v>31</v>
      </c>
    </row>
    <row r="4" spans="1:5">
      <c r="A4" s="2" t="s">
        <v>32</v>
      </c>
    </row>
    <row r="5" spans="1:5">
      <c r="A5" s="2" t="s">
        <v>33</v>
      </c>
    </row>
    <row r="6" spans="1:5">
      <c r="A6" s="2" t="s">
        <v>35</v>
      </c>
    </row>
    <row r="7" spans="1:5">
      <c r="A7" s="2" t="s">
        <v>34</v>
      </c>
    </row>
    <row r="8" spans="1:5">
      <c r="A8" s="2" t="s">
        <v>36</v>
      </c>
    </row>
    <row r="9" spans="1:5">
      <c r="A9" s="2" t="s">
        <v>37</v>
      </c>
    </row>
    <row r="10" spans="1:5">
      <c r="A10" s="2" t="s">
        <v>38</v>
      </c>
    </row>
    <row r="11" spans="1:5">
      <c r="A11" s="2" t="s">
        <v>39</v>
      </c>
    </row>
    <row r="12" spans="1:5">
      <c r="A12" s="2" t="s">
        <v>40</v>
      </c>
    </row>
    <row r="13" spans="1:5">
      <c r="A13" s="2" t="s">
        <v>41</v>
      </c>
    </row>
    <row r="14" spans="1:5">
      <c r="A14" s="2" t="s">
        <v>43</v>
      </c>
    </row>
    <row r="15" spans="1:5">
      <c r="A15" s="2" t="s">
        <v>42</v>
      </c>
    </row>
    <row r="16" spans="1:5">
      <c r="A16" s="2" t="s">
        <v>44</v>
      </c>
    </row>
    <row r="17" spans="1:1">
      <c r="A17" s="2" t="s">
        <v>45</v>
      </c>
    </row>
    <row r="18" spans="1:1">
      <c r="A18" s="2" t="s">
        <v>46</v>
      </c>
    </row>
    <row r="19" spans="1:1">
      <c r="A19" s="2" t="s">
        <v>47</v>
      </c>
    </row>
    <row r="20" spans="1:1">
      <c r="A20" s="2" t="s">
        <v>68</v>
      </c>
    </row>
    <row r="21" spans="1:1">
      <c r="A21" s="2" t="s">
        <v>48</v>
      </c>
    </row>
    <row r="22" spans="1:1">
      <c r="A22" s="2" t="s">
        <v>49</v>
      </c>
    </row>
    <row r="23" spans="1:1">
      <c r="A23" s="2" t="s">
        <v>50</v>
      </c>
    </row>
    <row r="24" spans="1:1">
      <c r="A24" s="2" t="s">
        <v>70</v>
      </c>
    </row>
    <row r="25" spans="1:1">
      <c r="A25" s="2" t="s">
        <v>72</v>
      </c>
    </row>
    <row r="26" spans="1:1">
      <c r="A26" s="2" t="s">
        <v>52</v>
      </c>
    </row>
    <row r="27" spans="1:1">
      <c r="A27" s="2" t="s">
        <v>51</v>
      </c>
    </row>
    <row r="28" spans="1:1">
      <c r="A28" s="2" t="s">
        <v>65</v>
      </c>
    </row>
    <row r="29" spans="1:1">
      <c r="A29" s="2" t="s">
        <v>99</v>
      </c>
    </row>
    <row r="30" spans="1:1">
      <c r="A30" s="2" t="s">
        <v>100</v>
      </c>
    </row>
    <row r="31" spans="1:1">
      <c r="A31" s="2" t="s">
        <v>101</v>
      </c>
    </row>
    <row r="32" spans="1:1">
      <c r="A32" s="2" t="s">
        <v>102</v>
      </c>
    </row>
    <row r="33" spans="1:1">
      <c r="A33" s="2" t="s">
        <v>103</v>
      </c>
    </row>
    <row r="34" spans="1:1">
      <c r="A34" s="2" t="s">
        <v>24</v>
      </c>
    </row>
    <row r="35" spans="1:1">
      <c r="A35" s="2" t="s">
        <v>25</v>
      </c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EDED336F4AC345937821C4378B0575" ma:contentTypeVersion="13" ma:contentTypeDescription="Ein neues Dokument erstellen." ma:contentTypeScope="" ma:versionID="494f29b6abfd1a658fb4a91257319fb7">
  <xsd:schema xmlns:xsd="http://www.w3.org/2001/XMLSchema" xmlns:xs="http://www.w3.org/2001/XMLSchema" xmlns:p="http://schemas.microsoft.com/office/2006/metadata/properties" xmlns:ns3="cc81ea25-3c65-47fe-b799-37236d34457b" xmlns:ns4="3aa501bf-b653-40a4-9ae9-61a4d1229c70" targetNamespace="http://schemas.microsoft.com/office/2006/metadata/properties" ma:root="true" ma:fieldsID="79a9a6d6e67940bfc0c15f927b8771f4" ns3:_="" ns4:_="">
    <xsd:import namespace="cc81ea25-3c65-47fe-b799-37236d34457b"/>
    <xsd:import namespace="3aa501bf-b653-40a4-9ae9-61a4d1229c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1ea25-3c65-47fe-b799-37236d344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501bf-b653-40a4-9ae9-61a4d1229c7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B08E05-D3E6-4391-8AA6-C9B1EA9A2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1ea25-3c65-47fe-b799-37236d34457b"/>
    <ds:schemaRef ds:uri="3aa501bf-b653-40a4-9ae9-61a4d1229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62C800-B5CF-4467-9EC7-2088426858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0AA7BD-7B6E-43C6-AED0-1E579093AA9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Sheet1</vt:lpstr>
      <vt:lpstr>MasterData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Nishal Modi</dc:creator>
  <cp:keywords/>
  <dc:description/>
  <cp:lastModifiedBy>Administrator</cp:lastModifiedBy>
  <cp:revision/>
  <dcterms:created xsi:type="dcterms:W3CDTF">2018-12-17T09:59:10Z</dcterms:created>
  <dcterms:modified xsi:type="dcterms:W3CDTF">2026-01-10T06:01:55Z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0x01010060EDED336F4AC345937821C4378B0575</vt:lpwstr>
  </property>
</Properties>
</file>